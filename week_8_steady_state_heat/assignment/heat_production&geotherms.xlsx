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hasterok/Library/CloudStorage/GoogleDrive-dhasterok@gmail.com/My Drive/classes/GeophysicsIIIA/problem_sets/steady_state/"/>
    </mc:Choice>
  </mc:AlternateContent>
  <xr:revisionPtr revIDLastSave="0" documentId="13_ncr:1_{44CE2DFF-8D2E-7040-8542-0199CE707BFF}" xr6:coauthVersionLast="47" xr6:coauthVersionMax="47" xr10:uidLastSave="{00000000-0000-0000-0000-000000000000}"/>
  <bookViews>
    <workbookView xWindow="4460" yWindow="3260" windowWidth="24900" windowHeight="15000" xr2:uid="{00000000-000D-0000-FFFF-FFFF00000000}"/>
  </bookViews>
  <sheets>
    <sheet name="heat production" sheetId="1" r:id="rId1"/>
    <sheet name="temperature" sheetId="2" r:id="rId2"/>
    <sheet name="geotherm plot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C11" i="1" l="1"/>
  <c r="C10" i="1"/>
  <c r="C9" i="1"/>
  <c r="C7" i="1"/>
  <c r="C6" i="1"/>
  <c r="C5" i="1"/>
  <c r="F14" i="1"/>
  <c r="F9" i="1"/>
  <c r="G10" i="1"/>
  <c r="G11" i="1"/>
  <c r="G9" i="1"/>
  <c r="G6" i="1"/>
  <c r="G7" i="1"/>
  <c r="G5" i="1"/>
  <c r="F10" i="1"/>
  <c r="F11" i="1"/>
  <c r="F6" i="1"/>
  <c r="F7" i="1"/>
  <c r="F5" i="1"/>
  <c r="K2" i="2" l="1"/>
  <c r="H2" i="2"/>
  <c r="E2" i="2"/>
  <c r="D6" i="2"/>
  <c r="G1" i="1"/>
  <c r="K42" i="2"/>
  <c r="C17" i="1"/>
  <c r="C19" i="1"/>
  <c r="C20" i="1"/>
  <c r="H16" i="2"/>
  <c r="E36" i="2"/>
  <c r="U46" i="2"/>
  <c r="R46" i="2"/>
  <c r="O46" i="2"/>
  <c r="L46" i="2"/>
  <c r="I46" i="2"/>
  <c r="F46" i="2"/>
  <c r="C18" i="1"/>
  <c r="E14" i="2"/>
  <c r="E22" i="2"/>
  <c r="K34" i="2"/>
  <c r="K33" i="2"/>
  <c r="K23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H41" i="2"/>
  <c r="H38" i="2"/>
  <c r="H37" i="2"/>
  <c r="H36" i="2"/>
  <c r="H28" i="2"/>
  <c r="H27" i="2"/>
  <c r="H26" i="2"/>
  <c r="H25" i="2"/>
  <c r="H21" i="2"/>
  <c r="H20" i="2"/>
  <c r="H19" i="2"/>
  <c r="H18" i="2"/>
  <c r="H17" i="2"/>
  <c r="H14" i="2"/>
  <c r="H13" i="2"/>
  <c r="H12" i="2"/>
  <c r="H11" i="2"/>
  <c r="H10" i="2"/>
  <c r="H9" i="2"/>
  <c r="H6" i="2"/>
  <c r="E6" i="2" l="1"/>
  <c r="E9" i="2"/>
  <c r="E10" i="2"/>
  <c r="E21" i="2"/>
  <c r="T42" i="2"/>
  <c r="T34" i="2"/>
  <c r="T26" i="2"/>
  <c r="T40" i="2"/>
  <c r="T32" i="2"/>
  <c r="T24" i="2"/>
  <c r="T38" i="2"/>
  <c r="T39" i="2"/>
  <c r="T31" i="2"/>
  <c r="T23" i="2"/>
  <c r="T30" i="2"/>
  <c r="T22" i="2"/>
  <c r="T36" i="2"/>
  <c r="T45" i="2"/>
  <c r="U45" i="2" s="1"/>
  <c r="T33" i="2"/>
  <c r="T35" i="2"/>
  <c r="T44" i="2"/>
  <c r="T29" i="2"/>
  <c r="T43" i="2"/>
  <c r="T28" i="2"/>
  <c r="T41" i="2"/>
  <c r="T27" i="2"/>
  <c r="T25" i="2"/>
  <c r="T37" i="2"/>
  <c r="E43" i="2"/>
  <c r="E35" i="2"/>
  <c r="E27" i="2"/>
  <c r="E40" i="2"/>
  <c r="E32" i="2"/>
  <c r="E24" i="2"/>
  <c r="E39" i="2"/>
  <c r="E31" i="2"/>
  <c r="E23" i="2"/>
  <c r="E25" i="2"/>
  <c r="K24" i="2"/>
  <c r="K37" i="2"/>
  <c r="E12" i="2"/>
  <c r="E38" i="2"/>
  <c r="H40" i="2"/>
  <c r="H32" i="2"/>
  <c r="H24" i="2"/>
  <c r="H39" i="2"/>
  <c r="H31" i="2"/>
  <c r="H23" i="2"/>
  <c r="E26" i="2"/>
  <c r="E41" i="2"/>
  <c r="H29" i="2"/>
  <c r="K25" i="2"/>
  <c r="K39" i="2"/>
  <c r="E13" i="2"/>
  <c r="E37" i="2"/>
  <c r="H42" i="2"/>
  <c r="E28" i="2"/>
  <c r="E42" i="2"/>
  <c r="H30" i="2"/>
  <c r="H43" i="2"/>
  <c r="K26" i="2"/>
  <c r="K40" i="2"/>
  <c r="E44" i="2"/>
  <c r="T2" i="2"/>
  <c r="Q2" i="2"/>
  <c r="N2" i="2"/>
  <c r="E30" i="2"/>
  <c r="E45" i="2"/>
  <c r="F45" i="2" s="1"/>
  <c r="E19" i="2"/>
  <c r="E11" i="2"/>
  <c r="E16" i="2"/>
  <c r="E8" i="2"/>
  <c r="E15" i="2"/>
  <c r="E7" i="2"/>
  <c r="K31" i="2"/>
  <c r="E18" i="2"/>
  <c r="E33" i="2"/>
  <c r="E29" i="2"/>
  <c r="K38" i="2"/>
  <c r="K30" i="2"/>
  <c r="K22" i="2"/>
  <c r="K44" i="2"/>
  <c r="K36" i="2"/>
  <c r="K28" i="2"/>
  <c r="K43" i="2"/>
  <c r="K35" i="2"/>
  <c r="K27" i="2"/>
  <c r="H33" i="2"/>
  <c r="H44" i="2"/>
  <c r="K29" i="2"/>
  <c r="K41" i="2"/>
  <c r="E17" i="2"/>
  <c r="H34" i="2"/>
  <c r="H45" i="2"/>
  <c r="I45" i="2" s="1"/>
  <c r="H22" i="2"/>
  <c r="H35" i="2"/>
  <c r="K32" i="2"/>
  <c r="K45" i="2"/>
  <c r="L45" i="2" s="1"/>
  <c r="E20" i="2"/>
  <c r="E34" i="2"/>
  <c r="H7" i="2"/>
  <c r="H15" i="2"/>
  <c r="H8" i="2"/>
  <c r="I44" i="2" l="1"/>
  <c r="I43" i="2" s="1"/>
  <c r="I42" i="2" s="1"/>
  <c r="I41" i="2" s="1"/>
  <c r="I40" i="2" s="1"/>
  <c r="I39" i="2" s="1"/>
  <c r="I38" i="2" s="1"/>
  <c r="I37" i="2" s="1"/>
  <c r="I36" i="2" s="1"/>
  <c r="I35" i="2" s="1"/>
  <c r="I34" i="2" s="1"/>
  <c r="I33" i="2" s="1"/>
  <c r="I32" i="2" s="1"/>
  <c r="I31" i="2" s="1"/>
  <c r="I30" i="2" s="1"/>
  <c r="I29" i="2" s="1"/>
  <c r="I28" i="2" s="1"/>
  <c r="I27" i="2" s="1"/>
  <c r="I26" i="2" s="1"/>
  <c r="I25" i="2" s="1"/>
  <c r="I24" i="2" s="1"/>
  <c r="I23" i="2" s="1"/>
  <c r="I22" i="2" s="1"/>
  <c r="I21" i="2" s="1"/>
  <c r="I20" i="2" s="1"/>
  <c r="I19" i="2" s="1"/>
  <c r="I18" i="2" s="1"/>
  <c r="I17" i="2" s="1"/>
  <c r="I16" i="2" s="1"/>
  <c r="I15" i="2" s="1"/>
  <c r="I14" i="2" s="1"/>
  <c r="I13" i="2" s="1"/>
  <c r="I12" i="2" s="1"/>
  <c r="I11" i="2" s="1"/>
  <c r="I10" i="2" s="1"/>
  <c r="I9" i="2" s="1"/>
  <c r="I8" i="2" s="1"/>
  <c r="I7" i="2" s="1"/>
  <c r="I6" i="2" s="1"/>
  <c r="J7" i="2" s="1"/>
  <c r="L44" i="2"/>
  <c r="L43" i="2" s="1"/>
  <c r="L42" i="2" s="1"/>
  <c r="L41" i="2" s="1"/>
  <c r="L40" i="2" s="1"/>
  <c r="L39" i="2" s="1"/>
  <c r="L38" i="2" s="1"/>
  <c r="L37" i="2" s="1"/>
  <c r="L36" i="2" s="1"/>
  <c r="L35" i="2" s="1"/>
  <c r="L34" i="2" s="1"/>
  <c r="L33" i="2" s="1"/>
  <c r="L32" i="2" s="1"/>
  <c r="L31" i="2" s="1"/>
  <c r="L30" i="2" s="1"/>
  <c r="L29" i="2" s="1"/>
  <c r="L28" i="2" s="1"/>
  <c r="L27" i="2" s="1"/>
  <c r="L26" i="2" s="1"/>
  <c r="L25" i="2" s="1"/>
  <c r="L24" i="2" s="1"/>
  <c r="L23" i="2" s="1"/>
  <c r="L22" i="2" s="1"/>
  <c r="L21" i="2" s="1"/>
  <c r="L20" i="2" s="1"/>
  <c r="L19" i="2" s="1"/>
  <c r="L18" i="2" s="1"/>
  <c r="L17" i="2" s="1"/>
  <c r="L16" i="2" s="1"/>
  <c r="L15" i="2" s="1"/>
  <c r="L14" i="2" s="1"/>
  <c r="L13" i="2" s="1"/>
  <c r="L12" i="2" s="1"/>
  <c r="L11" i="2" s="1"/>
  <c r="L10" i="2" s="1"/>
  <c r="L9" i="2" s="1"/>
  <c r="L8" i="2" s="1"/>
  <c r="L7" i="2" s="1"/>
  <c r="L6" i="2" s="1"/>
  <c r="M7" i="2" s="1"/>
  <c r="U44" i="2"/>
  <c r="U43" i="2" s="1"/>
  <c r="U42" i="2" s="1"/>
  <c r="U41" i="2" s="1"/>
  <c r="U40" i="2" s="1"/>
  <c r="U39" i="2" s="1"/>
  <c r="U38" i="2" s="1"/>
  <c r="U37" i="2" s="1"/>
  <c r="U36" i="2" s="1"/>
  <c r="U35" i="2" s="1"/>
  <c r="U34" i="2" s="1"/>
  <c r="U33" i="2" s="1"/>
  <c r="U32" i="2" s="1"/>
  <c r="U31" i="2" s="1"/>
  <c r="U30" i="2" s="1"/>
  <c r="U29" i="2" s="1"/>
  <c r="U28" i="2" s="1"/>
  <c r="U27" i="2" s="1"/>
  <c r="U26" i="2" s="1"/>
  <c r="U25" i="2" s="1"/>
  <c r="U24" i="2" s="1"/>
  <c r="U23" i="2" s="1"/>
  <c r="U22" i="2" s="1"/>
  <c r="Q38" i="2"/>
  <c r="Q30" i="2"/>
  <c r="Q22" i="2"/>
  <c r="Q44" i="2"/>
  <c r="Q36" i="2"/>
  <c r="Q28" i="2"/>
  <c r="Q42" i="2"/>
  <c r="Q26" i="2"/>
  <c r="Q43" i="2"/>
  <c r="Q35" i="2"/>
  <c r="Q27" i="2"/>
  <c r="Q34" i="2"/>
  <c r="Q24" i="2"/>
  <c r="Q37" i="2"/>
  <c r="Q23" i="2"/>
  <c r="Q33" i="2"/>
  <c r="Q32" i="2"/>
  <c r="Q45" i="2"/>
  <c r="R45" i="2" s="1"/>
  <c r="Q31" i="2"/>
  <c r="Q29" i="2"/>
  <c r="Q41" i="2"/>
  <c r="Q39" i="2"/>
  <c r="Q40" i="2"/>
  <c r="Q25" i="2"/>
  <c r="N42" i="2"/>
  <c r="N34" i="2"/>
  <c r="N26" i="2"/>
  <c r="N40" i="2"/>
  <c r="N32" i="2"/>
  <c r="N24" i="2"/>
  <c r="N38" i="2"/>
  <c r="N22" i="2"/>
  <c r="N39" i="2"/>
  <c r="N31" i="2"/>
  <c r="N23" i="2"/>
  <c r="N30" i="2"/>
  <c r="N41" i="2"/>
  <c r="N27" i="2"/>
  <c r="N25" i="2"/>
  <c r="N36" i="2"/>
  <c r="N37" i="2"/>
  <c r="N35" i="2"/>
  <c r="N33" i="2"/>
  <c r="N44" i="2"/>
  <c r="N45" i="2"/>
  <c r="O45" i="2" s="1"/>
  <c r="N29" i="2"/>
  <c r="N28" i="2"/>
  <c r="N43" i="2"/>
  <c r="T18" i="2"/>
  <c r="T10" i="2"/>
  <c r="T16" i="2"/>
  <c r="T8" i="2"/>
  <c r="T14" i="2"/>
  <c r="T15" i="2"/>
  <c r="T7" i="2"/>
  <c r="T6" i="2"/>
  <c r="T21" i="2"/>
  <c r="T19" i="2"/>
  <c r="T20" i="2"/>
  <c r="T17" i="2"/>
  <c r="T12" i="2"/>
  <c r="T9" i="2"/>
  <c r="T13" i="2"/>
  <c r="T11" i="2"/>
  <c r="Q14" i="2"/>
  <c r="Q6" i="2"/>
  <c r="Q20" i="2"/>
  <c r="Q12" i="2"/>
  <c r="Q10" i="2"/>
  <c r="Q19" i="2"/>
  <c r="Q11" i="2"/>
  <c r="Q18" i="2"/>
  <c r="Q8" i="2"/>
  <c r="Q9" i="2"/>
  <c r="Q21" i="2"/>
  <c r="Q7" i="2"/>
  <c r="Q17" i="2"/>
  <c r="Q13" i="2"/>
  <c r="Q16" i="2"/>
  <c r="Q15" i="2"/>
  <c r="F44" i="2"/>
  <c r="F43" i="2" s="1"/>
  <c r="F42" i="2" s="1"/>
  <c r="F41" i="2" s="1"/>
  <c r="F40" i="2" s="1"/>
  <c r="F39" i="2" s="1"/>
  <c r="F38" i="2" s="1"/>
  <c r="F37" i="2" s="1"/>
  <c r="F36" i="2" s="1"/>
  <c r="F35" i="2" s="1"/>
  <c r="F34" i="2" s="1"/>
  <c r="F33" i="2" s="1"/>
  <c r="F32" i="2" s="1"/>
  <c r="F31" i="2" s="1"/>
  <c r="F30" i="2" s="1"/>
  <c r="F29" i="2" s="1"/>
  <c r="F28" i="2" s="1"/>
  <c r="F27" i="2" s="1"/>
  <c r="F26" i="2" s="1"/>
  <c r="F25" i="2" s="1"/>
  <c r="F24" i="2" s="1"/>
  <c r="F23" i="2" s="1"/>
  <c r="F22" i="2" s="1"/>
  <c r="F21" i="2" s="1"/>
  <c r="F20" i="2" s="1"/>
  <c r="F19" i="2" s="1"/>
  <c r="F18" i="2" s="1"/>
  <c r="F17" i="2" s="1"/>
  <c r="F16" i="2" s="1"/>
  <c r="F15" i="2" s="1"/>
  <c r="F14" i="2" s="1"/>
  <c r="F13" i="2" s="1"/>
  <c r="F12" i="2" s="1"/>
  <c r="F11" i="2" s="1"/>
  <c r="F10" i="2" s="1"/>
  <c r="F9" i="2" s="1"/>
  <c r="F8" i="2" s="1"/>
  <c r="F7" i="2" s="1"/>
  <c r="F6" i="2" s="1"/>
  <c r="G7" i="2" s="1"/>
  <c r="N18" i="2"/>
  <c r="N10" i="2"/>
  <c r="N16" i="2"/>
  <c r="N8" i="2"/>
  <c r="N6" i="2"/>
  <c r="N15" i="2"/>
  <c r="N7" i="2"/>
  <c r="N14" i="2"/>
  <c r="N12" i="2"/>
  <c r="N9" i="2"/>
  <c r="N21" i="2"/>
  <c r="N11" i="2"/>
  <c r="N20" i="2"/>
  <c r="N19" i="2"/>
  <c r="N17" i="2"/>
  <c r="N13" i="2"/>
  <c r="O44" i="2" l="1"/>
  <c r="O43" i="2" s="1"/>
  <c r="O42" i="2" s="1"/>
  <c r="O41" i="2" s="1"/>
  <c r="O40" i="2" s="1"/>
  <c r="O39" i="2" s="1"/>
  <c r="O38" i="2" s="1"/>
  <c r="O37" i="2" s="1"/>
  <c r="O36" i="2" s="1"/>
  <c r="O35" i="2" s="1"/>
  <c r="O34" i="2" s="1"/>
  <c r="O33" i="2" s="1"/>
  <c r="O32" i="2" s="1"/>
  <c r="O31" i="2" s="1"/>
  <c r="O30" i="2" s="1"/>
  <c r="O29" i="2" s="1"/>
  <c r="O28" i="2" s="1"/>
  <c r="O27" i="2" s="1"/>
  <c r="O26" i="2" s="1"/>
  <c r="O25" i="2" s="1"/>
  <c r="O24" i="2" s="1"/>
  <c r="O23" i="2" s="1"/>
  <c r="O22" i="2" s="1"/>
  <c r="O21" i="2" s="1"/>
  <c r="O20" i="2" s="1"/>
  <c r="O19" i="2" s="1"/>
  <c r="O18" i="2" s="1"/>
  <c r="O17" i="2" s="1"/>
  <c r="O16" i="2" s="1"/>
  <c r="O15" i="2" s="1"/>
  <c r="O14" i="2" s="1"/>
  <c r="O13" i="2" s="1"/>
  <c r="O12" i="2" s="1"/>
  <c r="O11" i="2" s="1"/>
  <c r="O10" i="2" s="1"/>
  <c r="O9" i="2" s="1"/>
  <c r="O8" i="2" s="1"/>
  <c r="O7" i="2" s="1"/>
  <c r="O6" i="2" s="1"/>
  <c r="P7" i="2" s="1"/>
  <c r="U21" i="2"/>
  <c r="U20" i="2" s="1"/>
  <c r="U19" i="2" s="1"/>
  <c r="U18" i="2" s="1"/>
  <c r="U17" i="2" s="1"/>
  <c r="U16" i="2" s="1"/>
  <c r="U15" i="2" s="1"/>
  <c r="U14" i="2" s="1"/>
  <c r="U13" i="2" s="1"/>
  <c r="U12" i="2" s="1"/>
  <c r="U11" i="2" s="1"/>
  <c r="U10" i="2" s="1"/>
  <c r="U9" i="2" s="1"/>
  <c r="U8" i="2" s="1"/>
  <c r="U7" i="2" s="1"/>
  <c r="U6" i="2" s="1"/>
  <c r="V7" i="2" s="1"/>
  <c r="R44" i="2"/>
  <c r="R43" i="2" s="1"/>
  <c r="R42" i="2" s="1"/>
  <c r="R41" i="2" s="1"/>
  <c r="R40" i="2" s="1"/>
  <c r="R39" i="2" s="1"/>
  <c r="R38" i="2" s="1"/>
  <c r="R37" i="2" s="1"/>
  <c r="R36" i="2" s="1"/>
  <c r="R35" i="2" s="1"/>
  <c r="R34" i="2" s="1"/>
  <c r="R33" i="2" s="1"/>
  <c r="R32" i="2" s="1"/>
  <c r="R31" i="2" s="1"/>
  <c r="R30" i="2" s="1"/>
  <c r="R29" i="2" s="1"/>
  <c r="R28" i="2" s="1"/>
  <c r="R27" i="2" s="1"/>
  <c r="R26" i="2" s="1"/>
  <c r="R25" i="2" s="1"/>
  <c r="R24" i="2" s="1"/>
  <c r="R23" i="2" s="1"/>
  <c r="R22" i="2" s="1"/>
  <c r="R21" i="2" s="1"/>
  <c r="R20" i="2" s="1"/>
  <c r="R19" i="2" s="1"/>
  <c r="R18" i="2" s="1"/>
  <c r="R17" i="2" s="1"/>
  <c r="R16" i="2" s="1"/>
  <c r="R15" i="2" s="1"/>
  <c r="R14" i="2" s="1"/>
  <c r="R13" i="2" s="1"/>
  <c r="R12" i="2" s="1"/>
  <c r="R11" i="2" s="1"/>
  <c r="R10" i="2" s="1"/>
  <c r="R9" i="2" s="1"/>
  <c r="R8" i="2" s="1"/>
  <c r="R7" i="2" s="1"/>
  <c r="R6" i="2" s="1"/>
  <c r="S7" i="2" s="1"/>
  <c r="D7" i="2"/>
  <c r="G8" i="2" s="1"/>
  <c r="P8" i="2" l="1"/>
  <c r="S8" i="2"/>
  <c r="D8" i="2"/>
  <c r="G9" i="2" s="1"/>
  <c r="J8" i="2"/>
  <c r="M8" i="2"/>
  <c r="V8" i="2"/>
  <c r="J9" i="2" l="1"/>
  <c r="M9" i="2"/>
  <c r="P9" i="2"/>
  <c r="V9" i="2"/>
  <c r="S9" i="2"/>
  <c r="D9" i="2"/>
  <c r="G10" i="2" s="1"/>
  <c r="P10" i="2" l="1"/>
  <c r="M10" i="2"/>
  <c r="S10" i="2"/>
  <c r="J10" i="2"/>
  <c r="V10" i="2"/>
  <c r="D10" i="2"/>
  <c r="G11" i="2" s="1"/>
  <c r="S11" i="2" l="1"/>
  <c r="V11" i="2"/>
  <c r="J11" i="2"/>
  <c r="M11" i="2"/>
  <c r="P11" i="2"/>
  <c r="D11" i="2"/>
  <c r="S12" i="2" l="1"/>
  <c r="V12" i="2"/>
  <c r="J12" i="2"/>
  <c r="P12" i="2"/>
  <c r="M12" i="2"/>
  <c r="G12" i="2"/>
  <c r="D12" i="2" l="1"/>
  <c r="S13" i="2" s="1"/>
  <c r="J13" i="2"/>
  <c r="M13" i="2"/>
  <c r="P13" i="2"/>
  <c r="V13" i="2"/>
  <c r="G13" i="2" l="1"/>
  <c r="D13" i="2" s="1"/>
  <c r="V14" i="2" s="1"/>
  <c r="S14" i="2" l="1"/>
  <c r="G14" i="2"/>
  <c r="M14" i="2"/>
  <c r="P14" i="2"/>
  <c r="J14" i="2"/>
  <c r="D14" i="2" l="1"/>
  <c r="V15" i="2" s="1"/>
  <c r="G15" i="2"/>
  <c r="P15" i="2"/>
  <c r="M15" i="2"/>
  <c r="S15" i="2"/>
  <c r="D15" i="2" l="1"/>
  <c r="S16" i="2" s="1"/>
  <c r="J15" i="2"/>
  <c r="J16" i="2" l="1"/>
  <c r="P16" i="2"/>
  <c r="V16" i="2"/>
  <c r="M16" i="2"/>
  <c r="G16" i="2"/>
  <c r="D16" i="2" l="1"/>
  <c r="G17" i="2" s="1"/>
  <c r="D17" i="2" l="1"/>
  <c r="G18" i="2" s="1"/>
  <c r="S17" i="2"/>
  <c r="S18" i="2" s="1"/>
  <c r="J17" i="2"/>
  <c r="J18" i="2" s="1"/>
  <c r="P17" i="2"/>
  <c r="P18" i="2" s="1"/>
  <c r="M17" i="2"/>
  <c r="M18" i="2" s="1"/>
  <c r="V17" i="2"/>
  <c r="V18" i="2" s="1"/>
  <c r="D18" i="2" l="1"/>
  <c r="G19" i="2" s="1"/>
  <c r="V19" i="2"/>
  <c r="P19" i="2"/>
  <c r="S19" i="2"/>
  <c r="M19" i="2"/>
  <c r="J19" i="2"/>
  <c r="D19" i="2" l="1"/>
  <c r="G20" i="2" s="1"/>
  <c r="D20" i="2" l="1"/>
  <c r="G21" i="2"/>
  <c r="V20" i="2"/>
  <c r="V21" i="2" s="1"/>
  <c r="S20" i="2"/>
  <c r="S21" i="2" s="1"/>
  <c r="J20" i="2"/>
  <c r="J21" i="2" s="1"/>
  <c r="P20" i="2"/>
  <c r="P21" i="2" s="1"/>
  <c r="M20" i="2"/>
  <c r="M21" i="2" s="1"/>
  <c r="D21" i="2" l="1"/>
  <c r="P22" i="2" s="1"/>
  <c r="M22" i="2" l="1"/>
  <c r="V22" i="2"/>
  <c r="S22" i="2"/>
  <c r="G22" i="2"/>
  <c r="D22" i="2"/>
  <c r="P23" i="2" s="1"/>
  <c r="J22" i="2"/>
  <c r="J23" i="2" l="1"/>
  <c r="G23" i="2"/>
  <c r="S23" i="2"/>
  <c r="V23" i="2"/>
  <c r="M23" i="2"/>
  <c r="D23" i="2" l="1"/>
  <c r="G24" i="2" s="1"/>
  <c r="D24" i="2" l="1"/>
  <c r="G25" i="2"/>
  <c r="P24" i="2"/>
  <c r="P25" i="2" s="1"/>
  <c r="J24" i="2"/>
  <c r="J25" i="2" s="1"/>
  <c r="S24" i="2"/>
  <c r="S25" i="2" s="1"/>
  <c r="V24" i="2"/>
  <c r="V25" i="2" s="1"/>
  <c r="M24" i="2"/>
  <c r="M25" i="2" s="1"/>
  <c r="D25" i="2" l="1"/>
  <c r="V26" i="2" s="1"/>
  <c r="S26" i="2" l="1"/>
  <c r="G26" i="2"/>
  <c r="J26" i="2"/>
  <c r="M26" i="2"/>
  <c r="P26" i="2"/>
  <c r="D26" i="2" l="1"/>
  <c r="V27" i="2" s="1"/>
  <c r="J27" i="2"/>
  <c r="S27" i="2"/>
  <c r="M27" i="2" l="1"/>
  <c r="G27" i="2"/>
  <c r="P27" i="2"/>
  <c r="D27" i="2" l="1"/>
  <c r="G28" i="2" s="1"/>
  <c r="D28" i="2" l="1"/>
  <c r="G29" i="2"/>
  <c r="M28" i="2"/>
  <c r="M29" i="2" s="1"/>
  <c r="S28" i="2"/>
  <c r="S29" i="2" s="1"/>
  <c r="V28" i="2"/>
  <c r="V29" i="2" s="1"/>
  <c r="J28" i="2"/>
  <c r="J29" i="2" s="1"/>
  <c r="P28" i="2"/>
  <c r="P29" i="2" s="1"/>
  <c r="D29" i="2" l="1"/>
  <c r="V30" i="2" s="1"/>
  <c r="G30" i="2"/>
  <c r="D30" i="2" l="1"/>
  <c r="V31" i="2" s="1"/>
  <c r="G31" i="2"/>
  <c r="M30" i="2"/>
  <c r="M31" i="2" s="1"/>
  <c r="S30" i="2"/>
  <c r="S31" i="2" s="1"/>
  <c r="J30" i="2"/>
  <c r="J31" i="2" s="1"/>
  <c r="P30" i="2"/>
  <c r="P31" i="2" s="1"/>
  <c r="D31" i="2" l="1"/>
  <c r="V32" i="2" s="1"/>
  <c r="G32" i="2"/>
  <c r="J32" i="2"/>
  <c r="M32" i="2"/>
  <c r="D32" i="2" l="1"/>
  <c r="V33" i="2" s="1"/>
  <c r="G33" i="2"/>
  <c r="P32" i="2"/>
  <c r="P33" i="2" s="1"/>
  <c r="S32" i="2"/>
  <c r="S33" i="2" s="1"/>
  <c r="M33" i="2" l="1"/>
  <c r="D33" i="2"/>
  <c r="V34" i="2" s="1"/>
  <c r="J33" i="2"/>
  <c r="J34" i="2" l="1"/>
  <c r="M34" i="2"/>
  <c r="G34" i="2"/>
  <c r="S34" i="2"/>
  <c r="P34" i="2"/>
  <c r="D34" i="2" l="1"/>
  <c r="V35" i="2" l="1"/>
  <c r="J35" i="2"/>
  <c r="M35" i="2"/>
  <c r="G35" i="2"/>
  <c r="S35" i="2"/>
  <c r="P35" i="2"/>
  <c r="D35" i="2" l="1"/>
  <c r="P36" i="2" s="1"/>
  <c r="V36" i="2" l="1"/>
  <c r="M36" i="2"/>
  <c r="G36" i="2"/>
  <c r="J36" i="2"/>
  <c r="S36" i="2"/>
  <c r="D36" i="2" l="1"/>
  <c r="P37" i="2" s="1"/>
  <c r="V37" i="2"/>
  <c r="G37" i="2" l="1"/>
  <c r="J37" i="2"/>
  <c r="M37" i="2"/>
  <c r="S37" i="2"/>
  <c r="D37" i="2" l="1"/>
  <c r="V38" i="2" l="1"/>
  <c r="P38" i="2"/>
  <c r="G38" i="2"/>
  <c r="J38" i="2"/>
  <c r="S38" i="2"/>
  <c r="M38" i="2"/>
  <c r="D38" i="2" l="1"/>
  <c r="S39" i="2" s="1"/>
  <c r="V39" i="2" l="1"/>
  <c r="P39" i="2"/>
  <c r="G39" i="2"/>
  <c r="M39" i="2"/>
  <c r="D39" i="2"/>
  <c r="S40" i="2" s="1"/>
  <c r="J39" i="2"/>
  <c r="J40" i="2" l="1"/>
  <c r="G40" i="2"/>
  <c r="V40" i="2"/>
  <c r="D40" i="2"/>
  <c r="S41" i="2" s="1"/>
  <c r="M40" i="2"/>
  <c r="P40" i="2"/>
  <c r="P41" i="2" l="1"/>
  <c r="M41" i="2"/>
  <c r="G41" i="2"/>
  <c r="V41" i="2"/>
  <c r="J41" i="2"/>
  <c r="D41" i="2" l="1"/>
  <c r="V42" i="2" s="1"/>
  <c r="S42" i="2" l="1"/>
  <c r="P42" i="2"/>
  <c r="M42" i="2"/>
  <c r="G42" i="2"/>
  <c r="J42" i="2"/>
  <c r="D42" i="2" l="1"/>
  <c r="V43" i="2" s="1"/>
  <c r="M43" i="2"/>
  <c r="S43" i="2" l="1"/>
  <c r="G43" i="2"/>
  <c r="P43" i="2"/>
  <c r="J43" i="2"/>
  <c r="D43" i="2" l="1"/>
  <c r="P44" i="2"/>
  <c r="M44" i="2" l="1"/>
  <c r="S44" i="2"/>
  <c r="V44" i="2"/>
  <c r="G44" i="2"/>
  <c r="J44" i="2"/>
  <c r="D44" i="2" l="1"/>
  <c r="P45" i="2" s="1"/>
  <c r="G45" i="2"/>
  <c r="V45" i="2"/>
  <c r="M45" i="2"/>
  <c r="D45" i="2" l="1"/>
  <c r="M46" i="2" s="1"/>
  <c r="G46" i="2"/>
  <c r="S45" i="2"/>
  <c r="S46" i="2" s="1"/>
  <c r="P46" i="2"/>
  <c r="J45" i="2"/>
  <c r="J46" i="2" s="1"/>
  <c r="V46" i="2" l="1"/>
</calcChain>
</file>

<file path=xl/sharedStrings.xml><?xml version="1.0" encoding="utf-8"?>
<sst xmlns="http://schemas.openxmlformats.org/spreadsheetml/2006/main" count="178" uniqueCount="53">
  <si>
    <t>K2O</t>
  </si>
  <si>
    <t>wt. %</t>
  </si>
  <si>
    <t>Th</t>
  </si>
  <si>
    <t>ppm</t>
  </si>
  <si>
    <t>U</t>
  </si>
  <si>
    <t>heat production</t>
  </si>
  <si>
    <t>gabbro</t>
  </si>
  <si>
    <r>
      <rPr>
        <b/>
        <sz val="12"/>
        <color theme="1"/>
        <rFont val="Symbol"/>
        <charset val="2"/>
      </rPr>
      <t>m</t>
    </r>
    <r>
      <rPr>
        <b/>
        <sz val="12"/>
        <color theme="1"/>
        <rFont val="Calibri"/>
        <family val="2"/>
        <scheme val="minor"/>
      </rPr>
      <t>W m</t>
    </r>
    <r>
      <rPr>
        <b/>
        <vertAlign val="superscript"/>
        <sz val="12"/>
        <color theme="1"/>
        <rFont val="Calibri (Body)"/>
      </rPr>
      <t>-3</t>
    </r>
  </si>
  <si>
    <t>age</t>
  </si>
  <si>
    <t>present-day</t>
  </si>
  <si>
    <t>Ma</t>
  </si>
  <si>
    <t>&lt;200</t>
  </si>
  <si>
    <t>&gt;2800</t>
  </si>
  <si>
    <t>2000 to 2800</t>
  </si>
  <si>
    <t>radioelement concentrations</t>
  </si>
  <si>
    <t>K-40</t>
  </si>
  <si>
    <t>Th-232</t>
  </si>
  <si>
    <t>U-235</t>
  </si>
  <si>
    <t>U-238</t>
  </si>
  <si>
    <t>half-life</t>
  </si>
  <si>
    <r>
      <t>W kg</t>
    </r>
    <r>
      <rPr>
        <b/>
        <vertAlign val="superscript"/>
        <sz val="12"/>
        <color theme="1"/>
        <rFont val="Calibri (Body)"/>
      </rPr>
      <t>-1</t>
    </r>
  </si>
  <si>
    <r>
      <t>kg kg</t>
    </r>
    <r>
      <rPr>
        <b/>
        <vertAlign val="superscript"/>
        <sz val="12"/>
        <color theme="1"/>
        <rFont val="Calibri (Body)"/>
      </rPr>
      <t>-1</t>
    </r>
  </si>
  <si>
    <t>heat produced</t>
  </si>
  <si>
    <t>by decay</t>
  </si>
  <si>
    <t>abundance</t>
  </si>
  <si>
    <t>decay parameters</t>
  </si>
  <si>
    <t>depth</t>
  </si>
  <si>
    <t>rock type</t>
  </si>
  <si>
    <t>layer</t>
  </si>
  <si>
    <t>upper crust</t>
  </si>
  <si>
    <t>lower crust</t>
  </si>
  <si>
    <t>Moho</t>
  </si>
  <si>
    <t>heat</t>
  </si>
  <si>
    <t>production</t>
  </si>
  <si>
    <t>thermal</t>
  </si>
  <si>
    <t>conductivity</t>
  </si>
  <si>
    <t>temperature</t>
  </si>
  <si>
    <t>heat flow</t>
  </si>
  <si>
    <t>km</t>
  </si>
  <si>
    <r>
      <rPr>
        <b/>
        <sz val="12"/>
        <color theme="1"/>
        <rFont val="Calibri"/>
        <family val="2"/>
      </rPr>
      <t>m</t>
    </r>
    <r>
      <rPr>
        <b/>
        <sz val="12"/>
        <color theme="1"/>
        <rFont val="Calibri"/>
        <family val="2"/>
        <scheme val="minor"/>
      </rPr>
      <t>W m</t>
    </r>
    <r>
      <rPr>
        <b/>
        <vertAlign val="superscript"/>
        <sz val="12"/>
        <color theme="1"/>
        <rFont val="Calibri (Body)"/>
      </rPr>
      <t>-2</t>
    </r>
  </si>
  <si>
    <r>
      <t>W m</t>
    </r>
    <r>
      <rPr>
        <b/>
        <vertAlign val="superscript"/>
        <sz val="12"/>
        <color theme="1"/>
        <rFont val="Calibri (Body)"/>
      </rPr>
      <t>-1</t>
    </r>
    <r>
      <rPr>
        <b/>
        <sz val="12"/>
        <color theme="1"/>
        <rFont val="Calibri"/>
        <family val="2"/>
        <scheme val="minor"/>
      </rPr>
      <t xml:space="preserve"> K</t>
    </r>
    <r>
      <rPr>
        <b/>
        <vertAlign val="superscript"/>
        <sz val="12"/>
        <color theme="1"/>
        <rFont val="Calibri (Body)"/>
      </rPr>
      <t>-1</t>
    </r>
  </si>
  <si>
    <r>
      <rPr>
        <b/>
        <vertAlign val="superscript"/>
        <sz val="12"/>
        <color theme="1"/>
        <rFont val="Calibri (Body)"/>
      </rPr>
      <t>o</t>
    </r>
    <r>
      <rPr>
        <b/>
        <sz val="12"/>
        <color theme="1"/>
        <rFont val="Calibri"/>
        <family val="2"/>
        <scheme val="minor"/>
      </rPr>
      <t>C</t>
    </r>
  </si>
  <si>
    <t>density</t>
  </si>
  <si>
    <r>
      <rPr>
        <b/>
        <sz val="12"/>
        <color theme="1"/>
        <rFont val="Calibri"/>
        <family val="2"/>
      </rPr>
      <t>kg</t>
    </r>
    <r>
      <rPr>
        <b/>
        <sz val="12"/>
        <color theme="1"/>
        <rFont val="Calibri"/>
        <family val="2"/>
        <scheme val="minor"/>
      </rPr>
      <t xml:space="preserve"> m</t>
    </r>
    <r>
      <rPr>
        <b/>
        <vertAlign val="superscript"/>
        <sz val="12"/>
        <color theme="1"/>
        <rFont val="Calibri (Body)"/>
      </rPr>
      <t>-3</t>
    </r>
  </si>
  <si>
    <t>decay</t>
  </si>
  <si>
    <t>constant</t>
  </si>
  <si>
    <r>
      <t>Ma</t>
    </r>
    <r>
      <rPr>
        <b/>
        <vertAlign val="superscript"/>
        <sz val="12"/>
        <color theme="1"/>
        <rFont val="Calibri (Body)"/>
      </rPr>
      <t>-1</t>
    </r>
  </si>
  <si>
    <t>time in past</t>
  </si>
  <si>
    <t>basal heat flow</t>
  </si>
  <si>
    <t>granite and granodiorite</t>
  </si>
  <si>
    <t>gabbro/basalt</t>
  </si>
  <si>
    <t>granite/granodiorite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</si>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</sst>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2"/>
      <scheme val="minor"/>
    </font>
    <font>
      <b/>
      <sz val="12"/>
      <color theme="1"/>
      <name val="Symbol"/>
      <charset val="2"/>
    </font>
    <font>
      <b/>
      <vertAlign val="superscript"/>
      <sz val="12"/>
      <color theme="1"/>
      <name val="Calibri (Body)"/>
    </font>
    <font>
      <b/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0" fillId="0" borderId="0" xfId="0" applyNumberFormat="1"/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" fontId="0" fillId="0" borderId="0" xfId="0" applyNumberFormat="1"/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Geotherms</a:t>
            </a:r>
            <a:r>
              <a:rPr lang="en-US" baseline="0"/>
              <a:t> (present-day)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production'!$A$5</c:f>
              <c:strCache>
                <c:ptCount val="1"/>
                <c:pt idx="0">
                  <c:v>&lt;200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temperature!$G$6:$G$46</c:f>
              <c:numCache>
                <c:formatCode>0.00</c:formatCode>
                <c:ptCount val="41"/>
                <c:pt idx="0">
                  <c:v>15</c:v>
                </c:pt>
                <c:pt idx="1">
                  <c:v>41.32278554729681</c:v>
                </c:pt>
                <c:pt idx="2">
                  <c:v>67.926701735117859</c:v>
                </c:pt>
                <c:pt idx="3">
                  <c:v>94.767344049865812</c:v>
                </c:pt>
                <c:pt idx="4">
                  <c:v>121.7978559277698</c:v>
                </c:pt>
                <c:pt idx="5">
                  <c:v>148.96902873648611</c:v>
                </c:pt>
                <c:pt idx="6">
                  <c:v>176.22941783052403</c:v>
                </c:pt>
                <c:pt idx="7">
                  <c:v>203.52547457786295</c:v>
                </c:pt>
                <c:pt idx="8">
                  <c:v>230.80169413505618</c:v>
                </c:pt>
                <c:pt idx="9">
                  <c:v>258.00077862526183</c:v>
                </c:pt>
                <c:pt idx="10">
                  <c:v>285.06381524904111</c:v>
                </c:pt>
                <c:pt idx="11">
                  <c:v>311.93046873252166</c:v>
                </c:pt>
                <c:pt idx="12">
                  <c:v>338.53918739277924</c:v>
                </c:pt>
                <c:pt idx="13">
                  <c:v>364.82742197723826</c:v>
                </c:pt>
                <c:pt idx="14">
                  <c:v>390.73185631372758</c:v>
                </c:pt>
                <c:pt idx="15">
                  <c:v>416.18864869178242</c:v>
                </c:pt>
                <c:pt idx="16">
                  <c:v>441.13368278506738</c:v>
                </c:pt>
                <c:pt idx="17">
                  <c:v>459.14297717834825</c:v>
                </c:pt>
                <c:pt idx="18">
                  <c:v>477.03186897700681</c:v>
                </c:pt>
                <c:pt idx="19">
                  <c:v>494.79963283915527</c:v>
                </c:pt>
                <c:pt idx="20">
                  <c:v>512.44554743652122</c:v>
                </c:pt>
                <c:pt idx="21">
                  <c:v>529.96889550312301</c:v>
                </c:pt>
                <c:pt idx="22">
                  <c:v>547.36896388373407</c:v>
                </c:pt>
                <c:pt idx="23">
                  <c:v>564.64504358213287</c:v>
                </c:pt>
                <c:pt idx="24">
                  <c:v>581.79642980913286</c:v>
                </c:pt>
                <c:pt idx="25">
                  <c:v>598.82242203038811</c:v>
                </c:pt>
                <c:pt idx="26">
                  <c:v>615.72232401397082</c:v>
                </c:pt>
                <c:pt idx="27">
                  <c:v>632.49544387771493</c:v>
                </c:pt>
                <c:pt idx="28">
                  <c:v>649.14109413632241</c:v>
                </c:pt>
                <c:pt idx="29">
                  <c:v>665.65859174822731</c:v>
                </c:pt>
                <c:pt idx="30">
                  <c:v>682.0472581622131</c:v>
                </c:pt>
                <c:pt idx="31">
                  <c:v>698.30641936377924</c:v>
                </c:pt>
                <c:pt idx="32">
                  <c:v>714.43540592125157</c:v>
                </c:pt>
                <c:pt idx="33">
                  <c:v>730.43355303163344</c:v>
                </c:pt>
                <c:pt idx="34">
                  <c:v>746.30020056619173</c:v>
                </c:pt>
                <c:pt idx="35">
                  <c:v>762.03469311577567</c:v>
                </c:pt>
                <c:pt idx="36">
                  <c:v>777.63638003586073</c:v>
                </c:pt>
                <c:pt idx="37">
                  <c:v>793.10461549131662</c:v>
                </c:pt>
                <c:pt idx="38">
                  <c:v>808.43875850089285</c:v>
                </c:pt>
                <c:pt idx="39">
                  <c:v>823.63817298141851</c:v>
                </c:pt>
                <c:pt idx="40">
                  <c:v>838.7022277917124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89A-A74D-9ABE-A26B16F84573}"/>
            </c:ext>
          </c:extLst>
        </c:ser>
        <c:ser>
          <c:idx val="1"/>
          <c:order val="1"/>
          <c:tx>
            <c:strRef>
              <c:f>'heat production'!$A$6</c:f>
              <c:strCache>
                <c:ptCount val="1"/>
                <c:pt idx="0">
                  <c:v>2000 to 2800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temperature!$J$6:$J$46</c:f>
              <c:numCache>
                <c:formatCode>0.00</c:formatCode>
                <c:ptCount val="41"/>
                <c:pt idx="0">
                  <c:v>15</c:v>
                </c:pt>
                <c:pt idx="1">
                  <c:v>35.342267364945556</c:v>
                </c:pt>
                <c:pt idx="2">
                  <c:v>56.021115883979391</c:v>
                </c:pt>
                <c:pt idx="3">
                  <c:v>77.011196892887369</c:v>
                </c:pt>
                <c:pt idx="4">
                  <c:v>98.285386432741973</c:v>
                </c:pt>
                <c:pt idx="5">
                  <c:v>119.81483092671404</c:v>
                </c:pt>
                <c:pt idx="6">
                  <c:v>141.56900329693107</c:v>
                </c:pt>
                <c:pt idx="7">
                  <c:v>163.51576955944194</c:v>
                </c:pt>
                <c:pt idx="8">
                  <c:v>185.62146586139824</c:v>
                </c:pt>
                <c:pt idx="9">
                  <c:v>207.85098584816029</c:v>
                </c:pt>
                <c:pt idx="10">
                  <c:v>230.16787816979857</c:v>
                </c:pt>
                <c:pt idx="11">
                  <c:v>252.53445385705041</c:v>
                </c:pt>
                <c:pt idx="12">
                  <c:v>274.91190321690164</c:v>
                </c:pt>
                <c:pt idx="13">
                  <c:v>297.26042181832224</c:v>
                </c:pt>
                <c:pt idx="14">
                  <c:v>319.53934506003759</c:v>
                </c:pt>
                <c:pt idx="15">
                  <c:v>341.70729073533215</c:v>
                </c:pt>
                <c:pt idx="16">
                  <c:v>363.72230893452183</c:v>
                </c:pt>
                <c:pt idx="17">
                  <c:v>379.76271291780614</c:v>
                </c:pt>
                <c:pt idx="18">
                  <c:v>395.76324819847537</c:v>
                </c:pt>
                <c:pt idx="19">
                  <c:v>411.72349898742237</c:v>
                </c:pt>
                <c:pt idx="20">
                  <c:v>427.64305072866006</c:v>
                </c:pt>
                <c:pt idx="21">
                  <c:v>443.52149012410382</c:v>
                </c:pt>
                <c:pt idx="22">
                  <c:v>459.35840515829778</c:v>
                </c:pt>
                <c:pt idx="23">
                  <c:v>475.15338512308227</c:v>
                </c:pt>
                <c:pt idx="24">
                  <c:v>490.90602064220002</c:v>
                </c:pt>
                <c:pt idx="25">
                  <c:v>506.6159036958399</c:v>
                </c:pt>
                <c:pt idx="26">
                  <c:v>522.28262764511464</c:v>
                </c:pt>
                <c:pt idx="27">
                  <c:v>537.90578725647174</c:v>
                </c:pt>
                <c:pt idx="28">
                  <c:v>553.48497872603411</c:v>
                </c:pt>
                <c:pt idx="29">
                  <c:v>569.01979970386935</c:v>
                </c:pt>
                <c:pt idx="30">
                  <c:v>584.50984931818471</c:v>
                </c:pt>
                <c:pt idx="31">
                  <c:v>599.95472819944609</c:v>
                </c:pt>
                <c:pt idx="32">
                  <c:v>615.35403850441844</c:v>
                </c:pt>
                <c:pt idx="33">
                  <c:v>630.70738394012574</c:v>
                </c:pt>
                <c:pt idx="34">
                  <c:v>646.01436978772824</c:v>
                </c:pt>
                <c:pt idx="35">
                  <c:v>661.27460292631508</c:v>
                </c:pt>
                <c:pt idx="36">
                  <c:v>676.4876918566099</c:v>
                </c:pt>
                <c:pt idx="37">
                  <c:v>691.65324672458689</c:v>
                </c:pt>
                <c:pt idx="38">
                  <c:v>706.77087934499639</c:v>
                </c:pt>
                <c:pt idx="39">
                  <c:v>721.84020322479614</c:v>
                </c:pt>
                <c:pt idx="40">
                  <c:v>736.86083358648818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89A-A74D-9ABE-A26B16F84573}"/>
            </c:ext>
          </c:extLst>
        </c:ser>
        <c:ser>
          <c:idx val="2"/>
          <c:order val="2"/>
          <c:tx>
            <c:strRef>
              <c:f>'heat production'!$A$7</c:f>
              <c:strCache>
                <c:ptCount val="1"/>
                <c:pt idx="0">
                  <c:v>&gt;2800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temperature!$M$6:$M$46</c:f>
              <c:numCache>
                <c:formatCode>0.00</c:formatCode>
                <c:ptCount val="41"/>
                <c:pt idx="0">
                  <c:v>15</c:v>
                </c:pt>
                <c:pt idx="1">
                  <c:v>32.530557716479734</c:v>
                </c:pt>
                <c:pt idx="2">
                  <c:v>50.432905829327368</c:v>
                </c:pt>
                <c:pt idx="3">
                  <c:v>68.69134151728629</c:v>
                </c:pt>
                <c:pt idx="4">
                  <c:v>87.288714002070165</c:v>
                </c:pt>
                <c:pt idx="5">
                  <c:v>106.20644227452073</c:v>
                </c:pt>
                <c:pt idx="6">
                  <c:v>125.42454046032434</c:v>
                </c:pt>
                <c:pt idx="7">
                  <c:v>144.92165093848413</c:v>
                </c:pt>
                <c:pt idx="8">
                  <c:v>164.67508527492132</c:v>
                </c:pt>
                <c:pt idx="9">
                  <c:v>184.66087298043666</c:v>
                </c:pt>
                <c:pt idx="10">
                  <c:v>204.85381804720609</c:v>
                </c:pt>
                <c:pt idx="11">
                  <c:v>225.22756316145177</c:v>
                </c:pt>
                <c:pt idx="12">
                  <c:v>245.75466143239285</c:v>
                </c:pt>
                <c:pt idx="13">
                  <c:v>266.40665541953263</c:v>
                </c:pt>
                <c:pt idx="14">
                  <c:v>287.15416318230024</c:v>
                </c:pt>
                <c:pt idx="15">
                  <c:v>307.9669710185695</c:v>
                </c:pt>
                <c:pt idx="16">
                  <c:v>328.81413250216946</c:v>
                </c:pt>
                <c:pt idx="17">
                  <c:v>344.08622660771442</c:v>
                </c:pt>
                <c:pt idx="18">
                  <c:v>359.34987833300733</c:v>
                </c:pt>
                <c:pt idx="19">
                  <c:v>374.60479268411473</c:v>
                </c:pt>
                <c:pt idx="20">
                  <c:v>389.85067481520485</c:v>
                </c:pt>
                <c:pt idx="21">
                  <c:v>405.08723004400679</c:v>
                </c:pt>
                <c:pt idx="22">
                  <c:v>420.31416386727324</c:v>
                </c:pt>
                <c:pt idx="23">
                  <c:v>435.53118197624531</c:v>
                </c:pt>
                <c:pt idx="24">
                  <c:v>450.73799027211885</c:v>
                </c:pt>
                <c:pt idx="25">
                  <c:v>465.93429488151008</c:v>
                </c:pt>
                <c:pt idx="26">
                  <c:v>481.11980217191984</c:v>
                </c:pt>
                <c:pt idx="27">
                  <c:v>496.29421876719505</c:v>
                </c:pt>
                <c:pt idx="28">
                  <c:v>511.45725156298607</c:v>
                </c:pt>
                <c:pt idx="29">
                  <c:v>526.60860774219861</c:v>
                </c:pt>
                <c:pt idx="30">
                  <c:v>541.74799479043929</c:v>
                </c:pt>
                <c:pt idx="31">
                  <c:v>556.87512051145256</c:v>
                </c:pt>
                <c:pt idx="32">
                  <c:v>571.98969304254933</c:v>
                </c:pt>
                <c:pt idx="33">
                  <c:v>587.09142087002408</c:v>
                </c:pt>
                <c:pt idx="34">
                  <c:v>602.18001284456113</c:v>
                </c:pt>
                <c:pt idx="35">
                  <c:v>617.25517819662741</c:v>
                </c:pt>
                <c:pt idx="36">
                  <c:v>632.31662655185028</c:v>
                </c:pt>
                <c:pt idx="37">
                  <c:v>647.36406794638083</c:v>
                </c:pt>
                <c:pt idx="38">
                  <c:v>662.3972128422397</c:v>
                </c:pt>
                <c:pt idx="39">
                  <c:v>677.41577214264407</c:v>
                </c:pt>
                <c:pt idx="40">
                  <c:v>692.41945720731655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89A-A74D-9ABE-A26B16F845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79951"/>
        <c:axId val="2054165455"/>
      </c:scatterChart>
      <c:valAx>
        <c:axId val="2051979951"/>
        <c:scaling>
          <c:orientation val="minMax"/>
          <c:max val="1000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5455"/>
        <c:crosses val="autoZero"/>
        <c:crossBetween val="midCat"/>
      </c:valAx>
      <c:valAx>
        <c:axId val="205416545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79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Geotherms</a:t>
            </a:r>
            <a:r>
              <a:rPr lang="en-US" baseline="0"/>
              <a:t> (at 3 Ga)</a:t>
            </a: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'heat production'!$A$9</c:f>
              <c:strCache>
                <c:ptCount val="1"/>
                <c:pt idx="0">
                  <c:v>&lt;200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temperature!$P$6:$P$46</c:f>
              <c:numCache>
                <c:formatCode>0.00</c:formatCode>
                <c:ptCount val="41"/>
                <c:pt idx="0">
                  <c:v>15</c:v>
                </c:pt>
                <c:pt idx="1">
                  <c:v>59.084306589432707</c:v>
                </c:pt>
                <c:pt idx="2">
                  <c:v>103.22038090254519</c:v>
                </c:pt>
                <c:pt idx="3">
                  <c:v>147.30236375319186</c:v>
                </c:pt>
                <c:pt idx="4">
                  <c:v>191.21986915273555</c:v>
                </c:pt>
                <c:pt idx="5">
                  <c:v>234.85826269449197</c:v>
                </c:pt>
                <c:pt idx="6">
                  <c:v>278.09897381800835</c:v>
                </c:pt>
                <c:pt idx="7">
                  <c:v>320.81984136907113</c:v>
                </c:pt>
                <c:pt idx="8">
                  <c:v>362.89549160408029</c:v>
                </c:pt>
                <c:pt idx="9">
                  <c:v>404.19774751656155</c:v>
                </c:pt>
                <c:pt idx="10">
                  <c:v>444.59606809151052</c:v>
                </c:pt>
                <c:pt idx="11">
                  <c:v>483.95801582248072</c:v>
                </c:pt>
                <c:pt idx="12">
                  <c:v>522.14975055942796</c:v>
                </c:pt>
                <c:pt idx="13">
                  <c:v>559.03654749495524</c:v>
                </c:pt>
                <c:pt idx="14">
                  <c:v>594.48333684543729</c:v>
                </c:pt>
                <c:pt idx="15">
                  <c:v>628.35526254422018</c:v>
                </c:pt>
                <c:pt idx="16">
                  <c:v>660.51825703932627</c:v>
                </c:pt>
                <c:pt idx="17">
                  <c:v>683.26134988259128</c:v>
                </c:pt>
                <c:pt idx="18">
                  <c:v>705.69041268949343</c:v>
                </c:pt>
                <c:pt idx="19">
                  <c:v>727.80397586114316</c:v>
                </c:pt>
                <c:pt idx="20">
                  <c:v>749.60058049740496</c:v>
                </c:pt>
                <c:pt idx="21">
                  <c:v>771.07877850301702</c:v>
                </c:pt>
                <c:pt idx="22">
                  <c:v>792.23713269313089</c:v>
                </c:pt>
                <c:pt idx="23">
                  <c:v>813.07421689825958</c:v>
                </c:pt>
                <c:pt idx="24">
                  <c:v>833.5886160686249</c:v>
                </c:pt>
                <c:pt idx="25">
                  <c:v>853.7789263778933</c:v>
                </c:pt>
                <c:pt idx="26">
                  <c:v>873.64375532628935</c:v>
                </c:pt>
                <c:pt idx="27">
                  <c:v>893.18172184307923</c:v>
                </c:pt>
                <c:pt idx="28">
                  <c:v>912.39145638841057</c:v>
                </c:pt>
                <c:pt idx="29">
                  <c:v>931.27160105450184</c:v>
                </c:pt>
                <c:pt idx="30">
                  <c:v>949.82080966617002</c:v>
                </c:pt>
                <c:pt idx="31">
                  <c:v>968.03774788068563</c:v>
                </c:pt>
                <c:pt idx="32">
                  <c:v>985.92109328694767</c:v>
                </c:pt>
                <c:pt idx="33">
                  <c:v>1003.469535503966</c:v>
                </c:pt>
                <c:pt idx="34">
                  <c:v>1020.6817762786436</c:v>
                </c:pt>
                <c:pt idx="35">
                  <c:v>1037.5565295828483</c:v>
                </c:pt>
                <c:pt idx="36">
                  <c:v>1054.0925217097627</c:v>
                </c:pt>
                <c:pt idx="37">
                  <c:v>1070.2884913695057</c:v>
                </c:pt>
                <c:pt idx="38">
                  <c:v>1086.1431897840141</c:v>
                </c:pt>
                <c:pt idx="39">
                  <c:v>1101.6553807811745</c:v>
                </c:pt>
                <c:pt idx="40">
                  <c:v>1116.8238408881978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A5-BF4A-9D24-28E8B56622A9}"/>
            </c:ext>
          </c:extLst>
        </c:ser>
        <c:ser>
          <c:idx val="1"/>
          <c:order val="1"/>
          <c:tx>
            <c:strRef>
              <c:f>'heat production'!$A$10</c:f>
              <c:strCache>
                <c:ptCount val="1"/>
                <c:pt idx="0">
                  <c:v>2000 to 2800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temperature!$S$6:$S$46</c:f>
              <c:numCache>
                <c:formatCode>0.00</c:formatCode>
                <c:ptCount val="41"/>
                <c:pt idx="0">
                  <c:v>15</c:v>
                </c:pt>
                <c:pt idx="1">
                  <c:v>46.640631078783954</c:v>
                </c:pt>
                <c:pt idx="2">
                  <c:v>78.449028729717043</c:v>
                </c:pt>
                <c:pt idx="3">
                  <c:v>110.35903011667503</c:v>
                </c:pt>
                <c:pt idx="4">
                  <c:v>142.30135435198304</c:v>
                </c:pt>
                <c:pt idx="5">
                  <c:v>174.20376772388997</c:v>
                </c:pt>
                <c:pt idx="6">
                  <c:v>205.99127107131818</c:v>
                </c:pt>
                <c:pt idx="7">
                  <c:v>237.58630901513806</c:v>
                </c:pt>
                <c:pt idx="8">
                  <c:v>268.90900058402167</c:v>
                </c:pt>
                <c:pt idx="9">
                  <c:v>299.87739059881545</c:v>
                </c:pt>
                <c:pt idx="10">
                  <c:v>330.40772100385453</c:v>
                </c:pt>
                <c:pt idx="11">
                  <c:v>360.41472115831522</c:v>
                </c:pt>
                <c:pt idx="12">
                  <c:v>389.81191592721268</c:v>
                </c:pt>
                <c:pt idx="13">
                  <c:v>418.51195024169527</c:v>
                </c:pt>
                <c:pt idx="14">
                  <c:v>446.42692863357769</c:v>
                </c:pt>
                <c:pt idx="15">
                  <c:v>473.46876809131868</c:v>
                </c:pt>
                <c:pt idx="16">
                  <c:v>499.54956243559172</c:v>
                </c:pt>
                <c:pt idx="17">
                  <c:v>518.20670501643144</c:v>
                </c:pt>
                <c:pt idx="18">
                  <c:v>536.71694594728797</c:v>
                </c:pt>
                <c:pt idx="19">
                  <c:v>555.07945803032123</c:v>
                </c:pt>
                <c:pt idx="20">
                  <c:v>573.29341899620692</c:v>
                </c:pt>
                <c:pt idx="21">
                  <c:v>591.3580115606735</c:v>
                </c:pt>
                <c:pt idx="22">
                  <c:v>609.27242348077834</c:v>
                </c:pt>
                <c:pt idx="23">
                  <c:v>627.03584761091599</c:v>
                </c:pt>
                <c:pt idx="24">
                  <c:v>644.64748195855645</c:v>
                </c:pt>
                <c:pt idx="25">
                  <c:v>662.1065297397048</c:v>
                </c:pt>
                <c:pt idx="26">
                  <c:v>679.41219943407907</c:v>
                </c:pt>
                <c:pt idx="27">
                  <c:v>696.56370484000013</c:v>
                </c:pt>
                <c:pt idx="28">
                  <c:v>713.5602651289887</c:v>
                </c:pt>
                <c:pt idx="29">
                  <c:v>730.40110490006418</c:v>
                </c:pt>
                <c:pt idx="30">
                  <c:v>747.0854542337396</c:v>
                </c:pt>
                <c:pt idx="31">
                  <c:v>763.61254874570852</c:v>
                </c:pt>
                <c:pt idx="32">
                  <c:v>779.98162964021799</c:v>
                </c:pt>
                <c:pt idx="33">
                  <c:v>796.19194376312203</c:v>
                </c:pt>
                <c:pt idx="34">
                  <c:v>812.24274365461179</c:v>
                </c:pt>
                <c:pt idx="35">
                  <c:v>828.13328760161596</c:v>
                </c:pt>
                <c:pt idx="36">
                  <c:v>843.86283968986697</c:v>
                </c:pt>
                <c:pt idx="37">
                  <c:v>859.43066985562859</c:v>
                </c:pt>
                <c:pt idx="38">
                  <c:v>874.83605393707808</c:v>
                </c:pt>
                <c:pt idx="39">
                  <c:v>890.07827372533995</c:v>
                </c:pt>
                <c:pt idx="40">
                  <c:v>905.15661701516501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A5-BF4A-9D24-28E8B56622A9}"/>
            </c:ext>
          </c:extLst>
        </c:ser>
        <c:ser>
          <c:idx val="2"/>
          <c:order val="2"/>
          <c:tx>
            <c:strRef>
              <c:f>'heat production'!$A$11</c:f>
              <c:strCache>
                <c:ptCount val="1"/>
                <c:pt idx="0">
                  <c:v>&gt;2800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temperature!$V$6:$V$46</c:f>
              <c:numCache>
                <c:formatCode>0.00</c:formatCode>
                <c:ptCount val="41"/>
                <c:pt idx="0">
                  <c:v>15</c:v>
                </c:pt>
                <c:pt idx="1">
                  <c:v>39.703455443313906</c:v>
                </c:pt>
                <c:pt idx="2">
                  <c:v>64.652375378235675</c:v>
                </c:pt>
                <c:pt idx="3">
                  <c:v>89.803706352402301</c:v>
                </c:pt>
                <c:pt idx="4">
                  <c:v>115.1120752869309</c:v>
                </c:pt>
                <c:pt idx="5">
                  <c:v>140.52988817091395</c:v>
                </c:pt>
                <c:pt idx="6">
                  <c:v>166.00744414603568</c:v>
                </c:pt>
                <c:pt idx="7">
                  <c:v>191.49306486691847</c:v>
                </c:pt>
                <c:pt idx="8">
                  <c:v>216.93323890722226</c:v>
                </c:pt>
                <c:pt idx="9">
                  <c:v>242.27278086336852</c:v>
                </c:pt>
                <c:pt idx="10">
                  <c:v>267.45500468804647</c:v>
                </c:pt>
                <c:pt idx="11">
                  <c:v>292.42191066544387</c:v>
                </c:pt>
                <c:pt idx="12">
                  <c:v>317.11438532053546</c:v>
                </c:pt>
                <c:pt idx="13">
                  <c:v>341.47241343689581</c:v>
                </c:pt>
                <c:pt idx="14">
                  <c:v>365.43530124254619</c:v>
                </c:pt>
                <c:pt idx="15">
                  <c:v>388.94190971246712</c:v>
                </c:pt>
                <c:pt idx="16">
                  <c:v>411.93089683077807</c:v>
                </c:pt>
                <c:pt idx="17">
                  <c:v>428.53451894815692</c:v>
                </c:pt>
                <c:pt idx="18">
                  <c:v>445.07523494643613</c:v>
                </c:pt>
                <c:pt idx="19">
                  <c:v>461.55254048625778</c:v>
                </c:pt>
                <c:pt idx="20">
                  <c:v>477.96593325676866</c:v>
                </c:pt>
                <c:pt idx="21">
                  <c:v>494.31491300723769</c:v>
                </c:pt>
                <c:pt idx="22">
                  <c:v>510.59898157857259</c:v>
                </c:pt>
                <c:pt idx="23">
                  <c:v>526.81764293473316</c:v>
                </c:pt>
                <c:pt idx="24">
                  <c:v>542.97040319403823</c:v>
                </c:pt>
                <c:pt idx="25">
                  <c:v>559.05677066036333</c:v>
                </c:pt>
                <c:pt idx="26">
                  <c:v>575.07625585422693</c:v>
                </c:pt>
                <c:pt idx="27">
                  <c:v>591.02837154376073</c:v>
                </c:pt>
                <c:pt idx="28">
                  <c:v>606.91263277556334</c:v>
                </c:pt>
                <c:pt idx="29">
                  <c:v>622.72855690543236</c:v>
                </c:pt>
                <c:pt idx="30">
                  <c:v>638.47566362897373</c:v>
                </c:pt>
                <c:pt idx="31">
                  <c:v>654.15347501208487</c:v>
                </c:pt>
                <c:pt idx="32">
                  <c:v>669.76151552130818</c:v>
                </c:pt>
                <c:pt idx="33">
                  <c:v>685.2993120540533</c:v>
                </c:pt>
                <c:pt idx="34">
                  <c:v>700.76639396868484</c:v>
                </c:pt>
                <c:pt idx="35">
                  <c:v>716.16229311447171</c:v>
                </c:pt>
                <c:pt idx="36">
                  <c:v>731.48654386139754</c:v>
                </c:pt>
                <c:pt idx="37">
                  <c:v>746.73868312982722</c:v>
                </c:pt>
                <c:pt idx="38">
                  <c:v>761.91825042002802</c:v>
                </c:pt>
                <c:pt idx="39">
                  <c:v>777.02478784154243</c:v>
                </c:pt>
                <c:pt idx="40">
                  <c:v>792.05784014240965</c:v>
                </c:pt>
              </c:numCache>
            </c:numRef>
          </c:xVal>
          <c:yVal>
            <c:numRef>
              <c:f>temperature!$C$6:$C$46</c:f>
              <c:numCache>
                <c:formatCode>General</c:formatCode>
                <c:ptCount val="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A5-BF4A-9D24-28E8B56622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979951"/>
        <c:axId val="2054165455"/>
      </c:scatterChart>
      <c:valAx>
        <c:axId val="2051979951"/>
        <c:scaling>
          <c:orientation val="minMax"/>
          <c:max val="100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</a:t>
                </a:r>
                <a:r>
                  <a:rPr lang="en-US" baseline="30000"/>
                  <a:t>o</a:t>
                </a:r>
                <a:r>
                  <a:rPr lang="en-US"/>
                  <a:t>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65455"/>
        <c:crosses val="autoZero"/>
        <c:crossBetween val="midCat"/>
      </c:valAx>
      <c:valAx>
        <c:axId val="2054165455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Depth (km)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979951"/>
        <c:crosses val="autoZero"/>
        <c:crossBetween val="midCat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444500</xdr:colOff>
      <xdr:row>26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0E2DF8E-53FF-6847-92B5-CC97F8BB47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463550</xdr:colOff>
      <xdr:row>0</xdr:row>
      <xdr:rowOff>0</xdr:rowOff>
    </xdr:from>
    <xdr:to>
      <xdr:col>11</xdr:col>
      <xdr:colOff>82550</xdr:colOff>
      <xdr:row>26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AD06BB1-4637-3448-AC0B-A8F0585299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F19" sqref="F19"/>
    </sheetView>
  </sheetViews>
  <sheetFormatPr baseColWidth="10" defaultRowHeight="16" x14ac:dyDescent="0.2"/>
  <cols>
    <col min="1" max="1" width="14.5" customWidth="1"/>
    <col min="3" max="3" width="11.1640625" customWidth="1"/>
    <col min="4" max="4" width="12.83203125" bestFit="1" customWidth="1"/>
    <col min="5" max="5" width="15.1640625" customWidth="1"/>
    <col min="6" max="7" width="14" bestFit="1" customWidth="1"/>
  </cols>
  <sheetData>
    <row r="1" spans="1:8" x14ac:dyDescent="0.2">
      <c r="B1" s="11" t="s">
        <v>14</v>
      </c>
      <c r="C1" s="11"/>
      <c r="D1" s="11"/>
      <c r="F1" s="3" t="s">
        <v>9</v>
      </c>
      <c r="G1" s="3" t="str">
        <f>CONCATENATE("at ",B22/1000," Ga")</f>
        <v>at 3 Ga</v>
      </c>
    </row>
    <row r="2" spans="1:8" x14ac:dyDescent="0.2">
      <c r="A2" s="3" t="s">
        <v>8</v>
      </c>
      <c r="B2" s="3" t="s">
        <v>0</v>
      </c>
      <c r="C2" s="3" t="s">
        <v>52</v>
      </c>
      <c r="D2" s="3" t="s">
        <v>2</v>
      </c>
      <c r="E2" s="3" t="s">
        <v>4</v>
      </c>
      <c r="F2" s="3" t="s">
        <v>5</v>
      </c>
      <c r="G2" s="3" t="s">
        <v>5</v>
      </c>
      <c r="H2" s="3" t="s">
        <v>42</v>
      </c>
    </row>
    <row r="3" spans="1:8" ht="19" x14ac:dyDescent="0.2">
      <c r="A3" s="3" t="s">
        <v>10</v>
      </c>
      <c r="B3" s="3" t="s">
        <v>1</v>
      </c>
      <c r="C3" s="3" t="s">
        <v>3</v>
      </c>
      <c r="D3" s="3" t="s">
        <v>3</v>
      </c>
      <c r="E3" s="3" t="s">
        <v>3</v>
      </c>
      <c r="F3" s="4" t="s">
        <v>7</v>
      </c>
      <c r="G3" s="4" t="s">
        <v>7</v>
      </c>
      <c r="H3" s="4" t="s">
        <v>43</v>
      </c>
    </row>
    <row r="4" spans="1:8" x14ac:dyDescent="0.2">
      <c r="A4" s="11" t="s">
        <v>49</v>
      </c>
      <c r="B4" s="11"/>
      <c r="C4" s="11"/>
      <c r="D4" s="11"/>
      <c r="E4" s="11"/>
      <c r="F4" s="11"/>
      <c r="G4" s="11"/>
      <c r="H4">
        <v>2675</v>
      </c>
    </row>
    <row r="5" spans="1:8" x14ac:dyDescent="0.2">
      <c r="A5" s="1" t="s">
        <v>11</v>
      </c>
      <c r="B5" s="6">
        <v>3.8517000000000001</v>
      </c>
      <c r="C5" s="5">
        <f>B5*0.8301</f>
        <v>3.19729617</v>
      </c>
      <c r="D5" s="6">
        <v>13.5</v>
      </c>
      <c r="E5" s="6">
        <v>3.36</v>
      </c>
      <c r="F5" s="5">
        <f>$H$4*($D$17*E$17*0.8301*B5*10000 + E$18*$D$18*D5 + E$19*$D$19*E5 +E$20*$D$20*E5)</f>
        <v>2.0771286610385076</v>
      </c>
      <c r="G5" s="5">
        <f>$H$4*($E$17*$D$17*0.8301*B5*EXP($C$17*$B$22)*10000 +$E$18*$D$18*D5*EXP($C$18*$B$22) +$E$19* $D$19*E5*EXP($C$19*$B$22) +$E$20*$D$20*E5*EXP($C$20*$B$22))</f>
        <v>4.6624882905618694</v>
      </c>
    </row>
    <row r="6" spans="1:8" x14ac:dyDescent="0.2">
      <c r="A6" s="1" t="s">
        <v>13</v>
      </c>
      <c r="B6" s="6">
        <v>3.2894999999999999</v>
      </c>
      <c r="C6" s="5">
        <f t="shared" ref="C6:C7" si="0">B6*0.8301</f>
        <v>2.7306139499999995</v>
      </c>
      <c r="D6" s="6">
        <v>9.2349999999999994</v>
      </c>
      <c r="E6" s="6">
        <v>1.5</v>
      </c>
      <c r="F6" s="5">
        <f>$H$4*($D$17*E$17*0.8301*B6*10000 + E$18*$D$18*D6 + E$19*$D$19*E6 +E$20*$D$20*E6)</f>
        <v>1.2681298034648711</v>
      </c>
      <c r="G6" s="5">
        <f>$H$4*($E$17*$D$17*0.8301*B6*EXP($C$17*$B$22)*10000 +$E$18*$D$18*D6*EXP($C$18*$B$22) +$E$19* $D$19*E6*EXP($C$19*$B$22) +$E$20*$D$20*E6*EXP($C$20*$B$22))</f>
        <v>2.9774433151774988</v>
      </c>
    </row>
    <row r="7" spans="1:8" x14ac:dyDescent="0.2">
      <c r="A7" s="1" t="s">
        <v>12</v>
      </c>
      <c r="B7" s="6">
        <v>2.1082999999999998</v>
      </c>
      <c r="C7" s="5">
        <f t="shared" si="0"/>
        <v>1.7500998299999997</v>
      </c>
      <c r="D7" s="6">
        <v>6.2</v>
      </c>
      <c r="E7" s="6">
        <v>1.079</v>
      </c>
      <c r="F7" s="5">
        <f>$H$4*($D$17*E$17*0.8301*B7*10000 + E$18*$D$18*D7 + E$19*$D$19*E7 +E$20*$D$20*E7)</f>
        <v>0.86196504392674722</v>
      </c>
      <c r="G7" s="5">
        <f>$H$4*($E$17*$D$17*0.8301*B7*EXP($C$17*$B$22)*10000 +$E$18*$D$18*D7*EXP($C$18*$B$22) +$E$19* $D$19*E7*EXP($C$19*$B$22) +$E$20*$D$20*E7*EXP($C$20*$B$22))</f>
        <v>2.0012452132621878</v>
      </c>
    </row>
    <row r="8" spans="1:8" x14ac:dyDescent="0.2">
      <c r="A8" s="11" t="s">
        <v>50</v>
      </c>
      <c r="B8" s="11"/>
      <c r="C8" s="11"/>
      <c r="D8" s="11"/>
      <c r="E8" s="11"/>
      <c r="F8" s="11"/>
      <c r="G8" s="11"/>
      <c r="H8">
        <v>2963</v>
      </c>
    </row>
    <row r="9" spans="1:8" x14ac:dyDescent="0.2">
      <c r="A9" s="1" t="s">
        <v>11</v>
      </c>
      <c r="B9" s="6">
        <v>0.68630000000000002</v>
      </c>
      <c r="C9" s="5">
        <f t="shared" ref="C9:C11" si="1">B9*0.8301</f>
        <v>0.56969762999999995</v>
      </c>
      <c r="D9" s="6">
        <v>2</v>
      </c>
      <c r="E9" s="6">
        <v>0.58899999999999997</v>
      </c>
      <c r="F9" s="5">
        <f>$H$8*(E$17*$D$17*0.8301*B9*10000 + E$18*$D$18*D9 + E$19*$D$19*E9 +E$20*$D$20*E9)</f>
        <v>0.37646551651411958</v>
      </c>
      <c r="G9" s="5">
        <f>$H$8*($E$17*$D$17*0.8301*B9*EXP($C$17*$B$22) *10000+$E$18*$D$18*D9*EXP($C$18*$B$22) +$E$19* $D$19*E9*EXP($C$19*$B$22) +$E$20*$D$20*E9*EXP($C$20*$B$22))</f>
        <v>0.87808917983926915</v>
      </c>
    </row>
    <row r="10" spans="1:8" x14ac:dyDescent="0.2">
      <c r="A10" s="1" t="s">
        <v>13</v>
      </c>
      <c r="B10" s="6">
        <v>0.47949999999999998</v>
      </c>
      <c r="C10" s="5">
        <f t="shared" si="1"/>
        <v>0.39803294999999994</v>
      </c>
      <c r="D10" s="6">
        <v>0.78</v>
      </c>
      <c r="E10" s="6">
        <v>0.24</v>
      </c>
      <c r="F10" s="5">
        <f>$H$8*(E$17*$D$17*0.8301*B10*10000 + E$18*$D$18*D10 + E$19*$D$19*E10 +E$20*$D$20*E10)</f>
        <v>0.16782925314477465</v>
      </c>
      <c r="G10" s="5">
        <f>$H$8*($E$17*$D$17*0.8301*B10*EXP($C$17*$B$22) *10000+$E$18*$D$18*D10*EXP($C$18*$B$22) +$E$19* $D$19*E10*EXP($C$19*$B$22) +$E$20*$D$20*E10*EXP($C$20*$B$22))</f>
        <v>0.44511566809016384</v>
      </c>
    </row>
    <row r="11" spans="1:8" x14ac:dyDescent="0.2">
      <c r="A11" s="1" t="s">
        <v>12</v>
      </c>
      <c r="B11" s="6">
        <v>0.23599999999999999</v>
      </c>
      <c r="C11" s="5">
        <f t="shared" si="1"/>
        <v>0.19590359999999998</v>
      </c>
      <c r="D11" s="6">
        <v>0.39</v>
      </c>
      <c r="E11" s="6">
        <v>0.13</v>
      </c>
      <c r="F11" s="5">
        <f>$H$8*(E$17*$D$17*0.8301*B11*10000 + E$18*$D$18*D11 + E$19*$D$19*E11 +E$20*$D$20*E11)</f>
        <v>8.6414207803799201E-2</v>
      </c>
      <c r="G11" s="5">
        <f>$H$8*($E$17*$D$17*0.8301*B11*EXP($C$17*$B$22) *10000+$E$18*$D$18*D11*EXP($C$18*$B$22) +$E$19* $D$19*E11*EXP($C$19*$B$22) +$E$20*$D$20*E11*EXP($C$20*$B$22))</f>
        <v>0.2275114611349858</v>
      </c>
    </row>
    <row r="13" spans="1:8" x14ac:dyDescent="0.2">
      <c r="A13" s="11" t="s">
        <v>25</v>
      </c>
      <c r="B13" s="11"/>
      <c r="C13" s="11"/>
      <c r="D13" s="11"/>
      <c r="E13" s="11"/>
    </row>
    <row r="14" spans="1:8" x14ac:dyDescent="0.2">
      <c r="A14" s="1"/>
      <c r="C14" s="3" t="s">
        <v>44</v>
      </c>
      <c r="D14" s="2" t="s">
        <v>22</v>
      </c>
      <c r="E14" s="3" t="s">
        <v>9</v>
      </c>
      <c r="F14" s="3" t="str">
        <f>CONCATENATE("at ", B22/1000, " Ga")</f>
        <v>at 3 Ga</v>
      </c>
    </row>
    <row r="15" spans="1:8" x14ac:dyDescent="0.2">
      <c r="B15" s="3" t="s">
        <v>19</v>
      </c>
      <c r="C15" s="3" t="s">
        <v>45</v>
      </c>
      <c r="D15" s="3" t="s">
        <v>23</v>
      </c>
      <c r="E15" s="3" t="s">
        <v>24</v>
      </c>
      <c r="F15" s="3" t="s">
        <v>24</v>
      </c>
    </row>
    <row r="16" spans="1:8" ht="19" x14ac:dyDescent="0.2">
      <c r="B16" s="3" t="s">
        <v>10</v>
      </c>
      <c r="C16" s="3" t="s">
        <v>46</v>
      </c>
      <c r="D16" s="3" t="s">
        <v>20</v>
      </c>
      <c r="E16" s="3" t="s">
        <v>21</v>
      </c>
      <c r="F16" s="3" t="s">
        <v>21</v>
      </c>
    </row>
    <row r="17" spans="1:6" x14ac:dyDescent="0.2">
      <c r="A17" s="1" t="s">
        <v>15</v>
      </c>
      <c r="B17" s="10">
        <v>1248</v>
      </c>
      <c r="C17" s="10">
        <f>LN(2)/B17</f>
        <v>5.5540639467944336E-4</v>
      </c>
      <c r="D17" s="8">
        <v>2.97E-5</v>
      </c>
      <c r="E17" s="1">
        <v>1.17E-4</v>
      </c>
      <c r="F17" s="12">
        <f>E17*EXP(C17*$B$22)</f>
        <v>6.1917820241398148E-4</v>
      </c>
    </row>
    <row r="18" spans="1:6" x14ac:dyDescent="0.2">
      <c r="A18" s="1" t="s">
        <v>16</v>
      </c>
      <c r="B18" s="8">
        <v>14000</v>
      </c>
      <c r="C18" s="10">
        <f t="shared" ref="C18:C20" si="2">LN(2)/B18</f>
        <v>4.951051289713895E-5</v>
      </c>
      <c r="D18" s="8">
        <v>2.5599999999999999E-5</v>
      </c>
      <c r="E18" s="1">
        <v>1</v>
      </c>
      <c r="F18" s="12">
        <f t="shared" ref="F18:F20" si="3">E18*EXP(C18*$B$22)</f>
        <v>1.1601293861601627</v>
      </c>
    </row>
    <row r="19" spans="1:6" x14ac:dyDescent="0.2">
      <c r="A19" s="1" t="s">
        <v>17</v>
      </c>
      <c r="B19" s="8">
        <v>704</v>
      </c>
      <c r="C19" s="10">
        <f t="shared" si="2"/>
        <v>9.8458406329537691E-4</v>
      </c>
      <c r="D19" s="8">
        <v>5.7499999999999999E-4</v>
      </c>
      <c r="E19" s="1">
        <v>7.2040000000000003E-3</v>
      </c>
      <c r="F19" s="12">
        <f t="shared" si="3"/>
        <v>0.13815670953239748</v>
      </c>
    </row>
    <row r="20" spans="1:6" x14ac:dyDescent="0.2">
      <c r="A20" s="1" t="s">
        <v>18</v>
      </c>
      <c r="B20" s="8">
        <v>4468</v>
      </c>
      <c r="C20" s="10">
        <f t="shared" si="2"/>
        <v>1.5513589538047119E-4</v>
      </c>
      <c r="D20" s="8">
        <v>9.1700000000000006E-5</v>
      </c>
      <c r="E20" s="1">
        <v>0.99274200000000001</v>
      </c>
      <c r="F20" s="12">
        <f t="shared" si="3"/>
        <v>1.5811038126385186</v>
      </c>
    </row>
    <row r="22" spans="1:6" x14ac:dyDescent="0.2">
      <c r="A22" s="3" t="s">
        <v>47</v>
      </c>
      <c r="B22" s="9">
        <v>3000</v>
      </c>
      <c r="C22" t="s">
        <v>10</v>
      </c>
    </row>
  </sheetData>
  <mergeCells count="4">
    <mergeCell ref="B1:D1"/>
    <mergeCell ref="A13:E13"/>
    <mergeCell ref="A4:G4"/>
    <mergeCell ref="A8:G8"/>
  </mergeCell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46"/>
  <sheetViews>
    <sheetView workbookViewId="0">
      <selection activeCell="E22" sqref="E22"/>
    </sheetView>
  </sheetViews>
  <sheetFormatPr baseColWidth="10" defaultRowHeight="16" x14ac:dyDescent="0.2"/>
  <cols>
    <col min="1" max="1" width="14.1640625" customWidth="1"/>
    <col min="2" max="2" width="18.33203125" customWidth="1"/>
    <col min="7" max="7" width="11.6640625" customWidth="1"/>
  </cols>
  <sheetData>
    <row r="1" spans="1:22" ht="19" x14ac:dyDescent="0.2">
      <c r="A1" s="2" t="s">
        <v>48</v>
      </c>
      <c r="B1">
        <v>36</v>
      </c>
      <c r="C1" s="4" t="s">
        <v>39</v>
      </c>
    </row>
    <row r="2" spans="1:22" x14ac:dyDescent="0.2">
      <c r="E2" s="11" t="str">
        <f>CONCATENATE('heat production'!F1,", ",'heat production'!A5)</f>
        <v>present-day, &lt;200</v>
      </c>
      <c r="F2" s="11"/>
      <c r="G2" s="11"/>
      <c r="H2" s="11" t="str">
        <f>CONCATENATE('heat production'!F1,", ",'heat production'!A6)</f>
        <v>present-day, 2000 to 2800</v>
      </c>
      <c r="I2" s="11"/>
      <c r="J2" s="11"/>
      <c r="K2" s="11" t="str">
        <f>CONCATENATE('heat production'!F1,", ",'heat production'!A7)</f>
        <v>present-day, &gt;2800</v>
      </c>
      <c r="L2" s="11"/>
      <c r="M2" s="11"/>
      <c r="N2" s="11" t="str">
        <f>CONCATENATE('heat production'!G1,", ",'heat production'!A5)</f>
        <v>at 3 Ga, &lt;200</v>
      </c>
      <c r="O2" s="11"/>
      <c r="P2" s="11"/>
      <c r="Q2" s="11" t="str">
        <f>CONCATENATE('heat production'!G1,", ",'heat production'!A6)</f>
        <v>at 3 Ga, 2000 to 2800</v>
      </c>
      <c r="R2" s="11"/>
      <c r="S2" s="11"/>
      <c r="T2" s="11" t="str">
        <f>CONCATENATE('heat production'!G1,", ",'heat production'!A7)</f>
        <v>at 3 Ga, &gt;2800</v>
      </c>
      <c r="U2" s="11"/>
      <c r="V2" s="11"/>
    </row>
    <row r="3" spans="1:22" x14ac:dyDescent="0.2">
      <c r="A3" s="2"/>
      <c r="B3" s="2"/>
      <c r="C3" s="2"/>
      <c r="D3" s="3" t="s">
        <v>34</v>
      </c>
      <c r="E3" s="3" t="s">
        <v>32</v>
      </c>
      <c r="F3" s="3"/>
      <c r="G3" s="3"/>
      <c r="H3" s="3" t="s">
        <v>32</v>
      </c>
      <c r="I3" s="3"/>
      <c r="J3" s="3"/>
      <c r="K3" s="3" t="s">
        <v>32</v>
      </c>
      <c r="L3" s="3"/>
      <c r="M3" s="3"/>
      <c r="N3" s="3" t="s">
        <v>32</v>
      </c>
      <c r="O3" s="3"/>
      <c r="P3" s="3"/>
      <c r="Q3" s="3" t="s">
        <v>32</v>
      </c>
      <c r="R3" s="3"/>
      <c r="S3" s="3"/>
      <c r="T3" s="3" t="s">
        <v>32</v>
      </c>
      <c r="U3" s="3"/>
      <c r="V3" s="3"/>
    </row>
    <row r="4" spans="1:22" x14ac:dyDescent="0.2">
      <c r="A4" s="3" t="s">
        <v>28</v>
      </c>
      <c r="B4" s="3" t="s">
        <v>27</v>
      </c>
      <c r="C4" s="3" t="s">
        <v>26</v>
      </c>
      <c r="D4" s="3" t="s">
        <v>35</v>
      </c>
      <c r="E4" s="3" t="s">
        <v>33</v>
      </c>
      <c r="F4" s="3" t="s">
        <v>37</v>
      </c>
      <c r="G4" s="3" t="s">
        <v>36</v>
      </c>
      <c r="H4" s="3" t="s">
        <v>33</v>
      </c>
      <c r="I4" s="3" t="s">
        <v>37</v>
      </c>
      <c r="J4" s="3" t="s">
        <v>36</v>
      </c>
      <c r="K4" s="3" t="s">
        <v>33</v>
      </c>
      <c r="L4" s="3" t="s">
        <v>37</v>
      </c>
      <c r="M4" s="3" t="s">
        <v>36</v>
      </c>
      <c r="N4" s="3" t="s">
        <v>33</v>
      </c>
      <c r="O4" s="3" t="s">
        <v>37</v>
      </c>
      <c r="P4" s="3" t="s">
        <v>36</v>
      </c>
      <c r="Q4" s="3" t="s">
        <v>33</v>
      </c>
      <c r="R4" s="3" t="s">
        <v>37</v>
      </c>
      <c r="S4" s="3" t="s">
        <v>36</v>
      </c>
      <c r="T4" s="3" t="s">
        <v>33</v>
      </c>
      <c r="U4" s="3" t="s">
        <v>37</v>
      </c>
      <c r="V4" s="3" t="s">
        <v>36</v>
      </c>
    </row>
    <row r="5" spans="1:22" ht="19" x14ac:dyDescent="0.2">
      <c r="A5" s="3"/>
      <c r="B5" s="3"/>
      <c r="C5" s="3" t="s">
        <v>38</v>
      </c>
      <c r="D5" s="3" t="s">
        <v>40</v>
      </c>
      <c r="E5" s="4" t="s">
        <v>7</v>
      </c>
      <c r="F5" s="4" t="s">
        <v>39</v>
      </c>
      <c r="G5" s="3" t="s">
        <v>41</v>
      </c>
      <c r="H5" s="4" t="s">
        <v>7</v>
      </c>
      <c r="I5" s="4" t="s">
        <v>39</v>
      </c>
      <c r="J5" s="3" t="s">
        <v>41</v>
      </c>
      <c r="K5" s="4" t="s">
        <v>7</v>
      </c>
      <c r="L5" s="4" t="s">
        <v>39</v>
      </c>
      <c r="M5" s="3" t="s">
        <v>41</v>
      </c>
      <c r="N5" s="4" t="s">
        <v>7</v>
      </c>
      <c r="O5" s="4" t="s">
        <v>39</v>
      </c>
      <c r="P5" s="3" t="s">
        <v>41</v>
      </c>
      <c r="Q5" s="4" t="s">
        <v>7</v>
      </c>
      <c r="R5" s="4" t="s">
        <v>39</v>
      </c>
      <c r="S5" s="3" t="s">
        <v>41</v>
      </c>
      <c r="T5" s="4" t="s">
        <v>7</v>
      </c>
      <c r="U5" s="4" t="s">
        <v>39</v>
      </c>
      <c r="V5" s="3" t="s">
        <v>41</v>
      </c>
    </row>
    <row r="6" spans="1:22" x14ac:dyDescent="0.2">
      <c r="A6" t="s">
        <v>29</v>
      </c>
      <c r="B6" t="s">
        <v>51</v>
      </c>
      <c r="C6" s="1">
        <v>0</v>
      </c>
      <c r="D6" s="7">
        <f>3*(1 + 0.0000015*C6)/(1 + 0.0015*G6)</f>
        <v>2.9339853300733498</v>
      </c>
      <c r="E6" s="8">
        <f>'heat production'!$F$5</f>
        <v>2.0771286610385076</v>
      </c>
      <c r="F6" s="6">
        <f t="shared" ref="F6:F44" si="0">F7+E6*($C7-$C6)</f>
        <v>78.269230972954887</v>
      </c>
      <c r="G6" s="6">
        <v>15</v>
      </c>
      <c r="H6" s="6">
        <f>'heat production'!$F$6</f>
        <v>1.2681298034648711</v>
      </c>
      <c r="I6" s="6">
        <f t="shared" ref="I6:I44" si="1">I7+H6*($C7-$C6)</f>
        <v>60.317978930912545</v>
      </c>
      <c r="J6" s="6">
        <v>15</v>
      </c>
      <c r="K6" s="6">
        <f>'heat production'!$F$7</f>
        <v>0.86196504392674722</v>
      </c>
      <c r="L6" s="6">
        <f t="shared" ref="L6:L44" si="2">L7+K6*($C7-$C6)</f>
        <v>51.865381690119079</v>
      </c>
      <c r="M6" s="6">
        <v>15</v>
      </c>
      <c r="N6" s="6">
        <f>'heat production'!$G$5</f>
        <v>4.6624882905618694</v>
      </c>
      <c r="O6" s="6">
        <f t="shared" ref="O6:O44" si="3">O7+N6*($C7-$C6)</f>
        <v>131.6739529651324</v>
      </c>
      <c r="P6" s="6">
        <v>15</v>
      </c>
      <c r="Q6" s="6">
        <f>'heat production'!$G$6</f>
        <v>2.9774433151774988</v>
      </c>
      <c r="R6" s="6">
        <f t="shared" ref="R6:R44" si="4">R7+Q6*($C7-$C6)</f>
        <v>94.321869077003782</v>
      </c>
      <c r="S6" s="6">
        <v>15</v>
      </c>
      <c r="T6" s="6">
        <f>'heat production'!$G$7</f>
        <v>2.0012452132621878</v>
      </c>
      <c r="U6" s="6">
        <f t="shared" ref="U6:U44" si="5">U7+T6*($C7-$C6)</f>
        <v>73.480198479434733</v>
      </c>
      <c r="V6" s="6">
        <v>15</v>
      </c>
    </row>
    <row r="7" spans="1:22" x14ac:dyDescent="0.2">
      <c r="A7" t="s">
        <v>29</v>
      </c>
      <c r="B7" t="s">
        <v>51</v>
      </c>
      <c r="C7" s="1">
        <v>1</v>
      </c>
      <c r="D7" s="7">
        <f t="shared" ref="D7:D21" si="6">3*(1 + 0.0000015*C7)/(1 + 0.0015*G7)</f>
        <v>2.8249050797942874</v>
      </c>
      <c r="E7" s="8">
        <f>'heat production'!$F$5</f>
        <v>2.0771286610385076</v>
      </c>
      <c r="F7" s="6">
        <f t="shared" si="0"/>
        <v>76.192102311916386</v>
      </c>
      <c r="G7" s="6">
        <f>G6+F6/$D6*($C7-$C6)-E6/(2*$D6)*($C7-$C6)^2</f>
        <v>41.32278554729681</v>
      </c>
      <c r="H7" s="6">
        <f>'heat production'!$F$6</f>
        <v>1.2681298034648711</v>
      </c>
      <c r="I7" s="6">
        <f t="shared" si="1"/>
        <v>59.049849127447672</v>
      </c>
      <c r="J7" s="6">
        <f>J6+I6/$D6*($C7-$C6)-H6/(2*$D6)*($C7-$C6)^2</f>
        <v>35.342267364945556</v>
      </c>
      <c r="K7" s="6">
        <f>'heat production'!$F$7</f>
        <v>0.86196504392674722</v>
      </c>
      <c r="L7" s="6">
        <f t="shared" si="2"/>
        <v>51.003416646192335</v>
      </c>
      <c r="M7" s="6">
        <f>M6+L6/$D6*($C7-$C6)-K6/(2*$D6)*($C7-$C6)^2</f>
        <v>32.530557716479734</v>
      </c>
      <c r="N7" s="6">
        <f>'heat production'!$G$5</f>
        <v>4.6624882905618694</v>
      </c>
      <c r="O7" s="6">
        <f t="shared" si="3"/>
        <v>127.01146467457053</v>
      </c>
      <c r="P7" s="6">
        <f>P6+O6/$D6*($C7-$C6)-N6/(2*$D6)*($C7-$C6)^2</f>
        <v>59.084306589432707</v>
      </c>
      <c r="Q7" s="6">
        <f>'heat production'!$G$6</f>
        <v>2.9774433151774988</v>
      </c>
      <c r="R7" s="6">
        <f t="shared" si="4"/>
        <v>91.344425761826287</v>
      </c>
      <c r="S7" s="6">
        <f>S6+R6/$D6*($C7-$C6)-Q6/(2*$D6)*($C7-$C6)^2</f>
        <v>46.640631078783954</v>
      </c>
      <c r="T7" s="6">
        <f>'heat production'!$G$7</f>
        <v>2.0012452132621878</v>
      </c>
      <c r="U7" s="6">
        <f t="shared" si="5"/>
        <v>71.478953266172539</v>
      </c>
      <c r="V7" s="6">
        <f>V6+U6/$D6*($C7-$C6)-T6/(2*$D6)*($C7-$C6)^2</f>
        <v>39.703455443313906</v>
      </c>
    </row>
    <row r="8" spans="1:22" x14ac:dyDescent="0.2">
      <c r="A8" t="s">
        <v>29</v>
      </c>
      <c r="B8" t="s">
        <v>51</v>
      </c>
      <c r="C8" s="1">
        <v>2</v>
      </c>
      <c r="D8" s="7">
        <f t="shared" si="6"/>
        <v>2.7226028521756276</v>
      </c>
      <c r="E8" s="8">
        <f>'heat production'!$F$5</f>
        <v>2.0771286610385076</v>
      </c>
      <c r="F8" s="6">
        <f t="shared" si="0"/>
        <v>74.114973650877886</v>
      </c>
      <c r="G8" s="6">
        <f t="shared" ref="G8:G46" si="7">G7+F7/$D7*($C8-$C7)-E7/(2*$D7)*($C8-$C7)^2</f>
        <v>67.926701735117859</v>
      </c>
      <c r="H8" s="6">
        <f>'heat production'!$F$6</f>
        <v>1.2681298034648711</v>
      </c>
      <c r="I8" s="6">
        <f t="shared" si="1"/>
        <v>57.781719323982799</v>
      </c>
      <c r="J8" s="6">
        <f t="shared" ref="J8:J46" si="8">J7+I7/$D7*($C8-$C7)-H7/(2*$D7)*($C8-$C7)^2</f>
        <v>56.021115883979391</v>
      </c>
      <c r="K8" s="6">
        <f>'heat production'!$F$7</f>
        <v>0.86196504392674722</v>
      </c>
      <c r="L8" s="6">
        <f t="shared" si="2"/>
        <v>50.14145160226559</v>
      </c>
      <c r="M8" s="6">
        <f t="shared" ref="M8:M46" si="9">M7+L7/$D7*($C8-$C7)-K7/(2*$D7)*($C8-$C7)^2</f>
        <v>50.432905829327368</v>
      </c>
      <c r="N8" s="6">
        <f>'heat production'!$G$5</f>
        <v>4.6624882905618694</v>
      </c>
      <c r="O8" s="6">
        <f t="shared" si="3"/>
        <v>122.34897638400867</v>
      </c>
      <c r="P8" s="6">
        <f t="shared" ref="P8:P46" si="10">P7+O7/$D7*($C8-$C7)-N7/(2*$D7)*($C8-$C7)^2</f>
        <v>103.22038090254519</v>
      </c>
      <c r="Q8" s="6">
        <f>'heat production'!$G$6</f>
        <v>2.9774433151774988</v>
      </c>
      <c r="R8" s="6">
        <f t="shared" si="4"/>
        <v>88.366982446648791</v>
      </c>
      <c r="S8" s="6">
        <f t="shared" ref="S8:S46" si="11">S7+R7/$D7*($C8-$C7)-Q7/(2*$D7)*($C8-$C7)^2</f>
        <v>78.449028729717043</v>
      </c>
      <c r="T8" s="6">
        <f>'heat production'!$G$7</f>
        <v>2.0012452132621878</v>
      </c>
      <c r="U8" s="6">
        <f t="shared" si="5"/>
        <v>69.477708052910344</v>
      </c>
      <c r="V8" s="6">
        <f t="shared" ref="V8:V46" si="12">V7+U7/$D7*($C8-$C7)-T7/(2*$D7)*($C8-$C7)^2</f>
        <v>64.652375378235675</v>
      </c>
    </row>
    <row r="9" spans="1:22" x14ac:dyDescent="0.2">
      <c r="A9" t="s">
        <v>29</v>
      </c>
      <c r="B9" t="s">
        <v>51</v>
      </c>
      <c r="C9" s="1">
        <v>3</v>
      </c>
      <c r="D9" s="7">
        <f t="shared" si="6"/>
        <v>2.6266347074750844</v>
      </c>
      <c r="E9" s="8">
        <f>'heat production'!$F$5</f>
        <v>2.0771286610385076</v>
      </c>
      <c r="F9" s="6">
        <f t="shared" si="0"/>
        <v>72.037844989839385</v>
      </c>
      <c r="G9" s="6">
        <f t="shared" si="7"/>
        <v>94.767344049865812</v>
      </c>
      <c r="H9" s="6">
        <f>'heat production'!$F$6</f>
        <v>1.2681298034648711</v>
      </c>
      <c r="I9" s="6">
        <f t="shared" si="1"/>
        <v>56.513589520517925</v>
      </c>
      <c r="J9" s="6">
        <f t="shared" si="8"/>
        <v>77.011196892887369</v>
      </c>
      <c r="K9" s="6">
        <f>'heat production'!$F$7</f>
        <v>0.86196504392674722</v>
      </c>
      <c r="L9" s="6">
        <f t="shared" si="2"/>
        <v>49.279486558338846</v>
      </c>
      <c r="M9" s="6">
        <f t="shared" si="9"/>
        <v>68.69134151728629</v>
      </c>
      <c r="N9" s="6">
        <f>'heat production'!$G$5</f>
        <v>4.6624882905618694</v>
      </c>
      <c r="O9" s="6">
        <f t="shared" si="3"/>
        <v>117.6864880934468</v>
      </c>
      <c r="P9" s="6">
        <f t="shared" si="10"/>
        <v>147.30236375319186</v>
      </c>
      <c r="Q9" s="6">
        <f>'heat production'!$G$6</f>
        <v>2.9774433151774988</v>
      </c>
      <c r="R9" s="6">
        <f t="shared" si="4"/>
        <v>85.389539131471295</v>
      </c>
      <c r="S9" s="6">
        <f t="shared" si="11"/>
        <v>110.35903011667503</v>
      </c>
      <c r="T9" s="6">
        <f>'heat production'!$G$7</f>
        <v>2.0012452132621878</v>
      </c>
      <c r="U9" s="6">
        <f t="shared" si="5"/>
        <v>67.47646283964815</v>
      </c>
      <c r="V9" s="6">
        <f t="shared" si="12"/>
        <v>89.803706352402301</v>
      </c>
    </row>
    <row r="10" spans="1:22" x14ac:dyDescent="0.2">
      <c r="A10" t="s">
        <v>29</v>
      </c>
      <c r="B10" t="s">
        <v>51</v>
      </c>
      <c r="C10" s="1">
        <v>4</v>
      </c>
      <c r="D10" s="7">
        <f t="shared" si="6"/>
        <v>2.5365909849931811</v>
      </c>
      <c r="E10" s="8">
        <f>'heat production'!$F$5</f>
        <v>2.0771286610385076</v>
      </c>
      <c r="F10" s="6">
        <f t="shared" si="0"/>
        <v>69.960716328800885</v>
      </c>
      <c r="G10" s="6">
        <f t="shared" si="7"/>
        <v>121.7978559277698</v>
      </c>
      <c r="H10" s="6">
        <f>'heat production'!$F$6</f>
        <v>1.2681298034648711</v>
      </c>
      <c r="I10" s="6">
        <f t="shared" si="1"/>
        <v>55.245459717053052</v>
      </c>
      <c r="J10" s="6">
        <f t="shared" si="8"/>
        <v>98.285386432741973</v>
      </c>
      <c r="K10" s="6">
        <f>'heat production'!$F$7</f>
        <v>0.86196504392674722</v>
      </c>
      <c r="L10" s="6">
        <f t="shared" si="2"/>
        <v>48.417521514412101</v>
      </c>
      <c r="M10" s="6">
        <f t="shared" si="9"/>
        <v>87.288714002070165</v>
      </c>
      <c r="N10" s="6">
        <f>'heat production'!$G$5</f>
        <v>4.6624882905618694</v>
      </c>
      <c r="O10" s="6">
        <f t="shared" si="3"/>
        <v>113.02399980288493</v>
      </c>
      <c r="P10" s="6">
        <f t="shared" si="10"/>
        <v>191.21986915273555</v>
      </c>
      <c r="Q10" s="6">
        <f>'heat production'!$G$6</f>
        <v>2.9774433151774988</v>
      </c>
      <c r="R10" s="6">
        <f t="shared" si="4"/>
        <v>82.4120958162938</v>
      </c>
      <c r="S10" s="6">
        <f t="shared" si="11"/>
        <v>142.30135435198304</v>
      </c>
      <c r="T10" s="6">
        <f>'heat production'!$G$7</f>
        <v>2.0012452132621878</v>
      </c>
      <c r="U10" s="6">
        <f t="shared" si="5"/>
        <v>65.475217626385955</v>
      </c>
      <c r="V10" s="6">
        <f t="shared" si="12"/>
        <v>115.1120752869309</v>
      </c>
    </row>
    <row r="11" spans="1:22" x14ac:dyDescent="0.2">
      <c r="A11" t="s">
        <v>29</v>
      </c>
      <c r="B11" t="s">
        <v>51</v>
      </c>
      <c r="C11" s="1">
        <v>5</v>
      </c>
      <c r="D11" s="7">
        <f t="shared" si="6"/>
        <v>2.4520935158575079</v>
      </c>
      <c r="E11" s="8">
        <f>'heat production'!$F$5</f>
        <v>2.0771286610385076</v>
      </c>
      <c r="F11" s="6">
        <f t="shared" si="0"/>
        <v>67.883587667762384</v>
      </c>
      <c r="G11" s="6">
        <f t="shared" si="7"/>
        <v>148.96902873648611</v>
      </c>
      <c r="H11" s="6">
        <f>'heat production'!$F$6</f>
        <v>1.2681298034648711</v>
      </c>
      <c r="I11" s="6">
        <f t="shared" si="1"/>
        <v>53.977329913588179</v>
      </c>
      <c r="J11" s="6">
        <f t="shared" si="8"/>
        <v>119.81483092671404</v>
      </c>
      <c r="K11" s="6">
        <f>'heat production'!$F$7</f>
        <v>0.86196504392674722</v>
      </c>
      <c r="L11" s="6">
        <f t="shared" si="2"/>
        <v>47.555556470485357</v>
      </c>
      <c r="M11" s="6">
        <f t="shared" si="9"/>
        <v>106.20644227452073</v>
      </c>
      <c r="N11" s="6">
        <f>'heat production'!$G$5</f>
        <v>4.6624882905618694</v>
      </c>
      <c r="O11" s="6">
        <f t="shared" si="3"/>
        <v>108.36151151232306</v>
      </c>
      <c r="P11" s="6">
        <f t="shared" si="10"/>
        <v>234.85826269449197</v>
      </c>
      <c r="Q11" s="6">
        <f>'heat production'!$G$6</f>
        <v>2.9774433151774988</v>
      </c>
      <c r="R11" s="6">
        <f t="shared" si="4"/>
        <v>79.434652501116304</v>
      </c>
      <c r="S11" s="6">
        <f t="shared" si="11"/>
        <v>174.20376772388997</v>
      </c>
      <c r="T11" s="6">
        <f>'heat production'!$G$7</f>
        <v>2.0012452132621878</v>
      </c>
      <c r="U11" s="6">
        <f t="shared" si="5"/>
        <v>63.473972413123768</v>
      </c>
      <c r="V11" s="6">
        <f t="shared" si="12"/>
        <v>140.52988817091395</v>
      </c>
    </row>
    <row r="12" spans="1:22" x14ac:dyDescent="0.2">
      <c r="A12" t="s">
        <v>29</v>
      </c>
      <c r="B12" t="s">
        <v>51</v>
      </c>
      <c r="C12" s="1">
        <v>6</v>
      </c>
      <c r="D12" s="7">
        <f t="shared" si="6"/>
        <v>2.3727930842068892</v>
      </c>
      <c r="E12" s="8">
        <f>'heat production'!$F$5</f>
        <v>2.0771286610385076</v>
      </c>
      <c r="F12" s="6">
        <f t="shared" si="0"/>
        <v>65.80645900672387</v>
      </c>
      <c r="G12" s="6">
        <f t="shared" si="7"/>
        <v>176.22941783052403</v>
      </c>
      <c r="H12" s="6">
        <f>'heat production'!$F$6</f>
        <v>1.2681298034648711</v>
      </c>
      <c r="I12" s="6">
        <f t="shared" si="1"/>
        <v>52.709200110123305</v>
      </c>
      <c r="J12" s="6">
        <f t="shared" si="8"/>
        <v>141.56900329693107</v>
      </c>
      <c r="K12" s="6">
        <f>'heat production'!$F$7</f>
        <v>0.86196504392674722</v>
      </c>
      <c r="L12" s="6">
        <f t="shared" si="2"/>
        <v>46.693591426558612</v>
      </c>
      <c r="M12" s="6">
        <f t="shared" si="9"/>
        <v>125.42454046032434</v>
      </c>
      <c r="N12" s="6">
        <f>'heat production'!$G$5</f>
        <v>4.6624882905618694</v>
      </c>
      <c r="O12" s="6">
        <f t="shared" si="3"/>
        <v>103.69902322176119</v>
      </c>
      <c r="P12" s="6">
        <f t="shared" si="10"/>
        <v>278.09897381800835</v>
      </c>
      <c r="Q12" s="6">
        <f>'heat production'!$G$6</f>
        <v>2.9774433151774988</v>
      </c>
      <c r="R12" s="6">
        <f t="shared" si="4"/>
        <v>76.457209185938808</v>
      </c>
      <c r="S12" s="6">
        <f t="shared" si="11"/>
        <v>205.99127107131818</v>
      </c>
      <c r="T12" s="6">
        <f>'heat production'!$G$7</f>
        <v>2.0012452132621878</v>
      </c>
      <c r="U12" s="6">
        <f t="shared" si="5"/>
        <v>61.472727199861581</v>
      </c>
      <c r="V12" s="6">
        <f t="shared" si="12"/>
        <v>166.00744414603568</v>
      </c>
    </row>
    <row r="13" spans="1:22" x14ac:dyDescent="0.2">
      <c r="A13" t="s">
        <v>29</v>
      </c>
      <c r="B13" t="s">
        <v>51</v>
      </c>
      <c r="C13" s="1">
        <v>7</v>
      </c>
      <c r="D13" s="7">
        <f t="shared" si="6"/>
        <v>2.298367113657926</v>
      </c>
      <c r="E13" s="8">
        <f>'heat production'!$F$5</f>
        <v>2.0771286610385076</v>
      </c>
      <c r="F13" s="6">
        <f t="shared" si="0"/>
        <v>63.729330345685362</v>
      </c>
      <c r="G13" s="6">
        <f t="shared" si="7"/>
        <v>203.52547457786295</v>
      </c>
      <c r="H13" s="6">
        <f>'heat production'!$F$6</f>
        <v>1.2681298034648711</v>
      </c>
      <c r="I13" s="6">
        <f t="shared" si="1"/>
        <v>51.441070306658432</v>
      </c>
      <c r="J13" s="6">
        <f t="shared" si="8"/>
        <v>163.51576955944194</v>
      </c>
      <c r="K13" s="6">
        <f>'heat production'!$F$7</f>
        <v>0.86196504392674722</v>
      </c>
      <c r="L13" s="6">
        <f t="shared" si="2"/>
        <v>45.831626382631868</v>
      </c>
      <c r="M13" s="6">
        <f t="shared" si="9"/>
        <v>144.92165093848413</v>
      </c>
      <c r="N13" s="6">
        <f>'heat production'!$G$5</f>
        <v>4.6624882905618694</v>
      </c>
      <c r="O13" s="6">
        <f t="shared" si="3"/>
        <v>99.036534931199327</v>
      </c>
      <c r="P13" s="6">
        <f t="shared" si="10"/>
        <v>320.81984136907113</v>
      </c>
      <c r="Q13" s="6">
        <f>'heat production'!$G$6</f>
        <v>2.9774433151774988</v>
      </c>
      <c r="R13" s="6">
        <f t="shared" si="4"/>
        <v>73.479765870761312</v>
      </c>
      <c r="S13" s="6">
        <f t="shared" si="11"/>
        <v>237.58630901513806</v>
      </c>
      <c r="T13" s="6">
        <f>'heat production'!$G$7</f>
        <v>2.0012452132621878</v>
      </c>
      <c r="U13" s="6">
        <f t="shared" si="5"/>
        <v>59.471481986599393</v>
      </c>
      <c r="V13" s="6">
        <f t="shared" si="12"/>
        <v>191.49306486691847</v>
      </c>
    </row>
    <row r="14" spans="1:22" x14ac:dyDescent="0.2">
      <c r="A14" t="s">
        <v>29</v>
      </c>
      <c r="B14" t="s">
        <v>51</v>
      </c>
      <c r="C14" s="1">
        <v>8</v>
      </c>
      <c r="D14" s="7">
        <f t="shared" si="6"/>
        <v>2.2285175582271739</v>
      </c>
      <c r="E14" s="8">
        <f>'heat production'!$F$5</f>
        <v>2.0771286610385076</v>
      </c>
      <c r="F14" s="6">
        <f t="shared" si="0"/>
        <v>61.652201684646855</v>
      </c>
      <c r="G14" s="6">
        <f t="shared" si="7"/>
        <v>230.80169413505618</v>
      </c>
      <c r="H14" s="6">
        <f>'heat production'!$F$6</f>
        <v>1.2681298034648711</v>
      </c>
      <c r="I14" s="6">
        <f t="shared" si="1"/>
        <v>50.172940503193558</v>
      </c>
      <c r="J14" s="6">
        <f t="shared" si="8"/>
        <v>185.62146586139824</v>
      </c>
      <c r="K14" s="6">
        <f>'heat production'!$F$7</f>
        <v>0.86196504392674722</v>
      </c>
      <c r="L14" s="6">
        <f t="shared" si="2"/>
        <v>44.969661338705123</v>
      </c>
      <c r="M14" s="6">
        <f t="shared" si="9"/>
        <v>164.67508527492132</v>
      </c>
      <c r="N14" s="6">
        <f>'heat production'!$G$5</f>
        <v>4.6624882905618694</v>
      </c>
      <c r="O14" s="6">
        <f t="shared" si="3"/>
        <v>94.374046640637459</v>
      </c>
      <c r="P14" s="6">
        <f t="shared" si="10"/>
        <v>362.89549160408029</v>
      </c>
      <c r="Q14" s="6">
        <f>'heat production'!$G$6</f>
        <v>2.9774433151774988</v>
      </c>
      <c r="R14" s="6">
        <f t="shared" si="4"/>
        <v>70.502322555583817</v>
      </c>
      <c r="S14" s="6">
        <f t="shared" si="11"/>
        <v>268.90900058402167</v>
      </c>
      <c r="T14" s="6">
        <f>'heat production'!$G$7</f>
        <v>2.0012452132621878</v>
      </c>
      <c r="U14" s="6">
        <f t="shared" si="5"/>
        <v>57.470236773337206</v>
      </c>
      <c r="V14" s="6">
        <f t="shared" si="12"/>
        <v>216.93323890722226</v>
      </c>
    </row>
    <row r="15" spans="1:22" x14ac:dyDescent="0.2">
      <c r="A15" t="s">
        <v>29</v>
      </c>
      <c r="B15" t="s">
        <v>51</v>
      </c>
      <c r="C15" s="1">
        <v>9</v>
      </c>
      <c r="D15" s="7">
        <f t="shared" si="6"/>
        <v>2.1629689789376849</v>
      </c>
      <c r="E15" s="8">
        <f>'heat production'!$F$5</f>
        <v>2.0771286610385076</v>
      </c>
      <c r="F15" s="6">
        <f t="shared" si="0"/>
        <v>59.575073023608347</v>
      </c>
      <c r="G15" s="6">
        <f t="shared" si="7"/>
        <v>258.00077862526183</v>
      </c>
      <c r="H15" s="6">
        <f>'heat production'!$F$6</f>
        <v>1.2681298034648711</v>
      </c>
      <c r="I15" s="6">
        <f t="shared" si="1"/>
        <v>48.904810699728685</v>
      </c>
      <c r="J15" s="6">
        <f t="shared" si="8"/>
        <v>207.85098584816029</v>
      </c>
      <c r="K15" s="6">
        <f>'heat production'!$F$7</f>
        <v>0.86196504392674722</v>
      </c>
      <c r="L15" s="6">
        <f t="shared" si="2"/>
        <v>44.107696294778378</v>
      </c>
      <c r="M15" s="6">
        <f t="shared" si="9"/>
        <v>184.66087298043666</v>
      </c>
      <c r="N15" s="6">
        <f>'heat production'!$G$5</f>
        <v>4.6624882905618694</v>
      </c>
      <c r="O15" s="6">
        <f t="shared" si="3"/>
        <v>89.711558350075592</v>
      </c>
      <c r="P15" s="6">
        <f t="shared" si="10"/>
        <v>404.19774751656155</v>
      </c>
      <c r="Q15" s="6">
        <f>'heat production'!$G$6</f>
        <v>2.9774433151774988</v>
      </c>
      <c r="R15" s="6">
        <f t="shared" si="4"/>
        <v>67.524879240406321</v>
      </c>
      <c r="S15" s="6">
        <f t="shared" si="11"/>
        <v>299.87739059881545</v>
      </c>
      <c r="T15" s="6">
        <f>'heat production'!$G$7</f>
        <v>2.0012452132621878</v>
      </c>
      <c r="U15" s="6">
        <f t="shared" si="5"/>
        <v>55.468991560075018</v>
      </c>
      <c r="V15" s="6">
        <f t="shared" si="12"/>
        <v>242.27278086336852</v>
      </c>
    </row>
    <row r="16" spans="1:22" x14ac:dyDescent="0.2">
      <c r="A16" t="s">
        <v>29</v>
      </c>
      <c r="B16" t="s">
        <v>51</v>
      </c>
      <c r="C16" s="1">
        <v>10</v>
      </c>
      <c r="D16" s="7">
        <f t="shared" si="6"/>
        <v>2.1014667891840597</v>
      </c>
      <c r="E16" s="8">
        <f>'heat production'!$F$5</f>
        <v>2.0771286610385076</v>
      </c>
      <c r="F16" s="6">
        <f t="shared" si="0"/>
        <v>57.497944362569839</v>
      </c>
      <c r="G16" s="6">
        <f t="shared" si="7"/>
        <v>285.06381524904111</v>
      </c>
      <c r="H16" s="6">
        <f>'heat production'!$F$6</f>
        <v>1.2681298034648711</v>
      </c>
      <c r="I16" s="6">
        <f t="shared" si="1"/>
        <v>47.636680896263812</v>
      </c>
      <c r="J16" s="6">
        <f t="shared" si="8"/>
        <v>230.16787816979857</v>
      </c>
      <c r="K16" s="6">
        <f>'heat production'!$F$7</f>
        <v>0.86196504392674722</v>
      </c>
      <c r="L16" s="6">
        <f t="shared" si="2"/>
        <v>43.245731250851634</v>
      </c>
      <c r="M16" s="6">
        <f t="shared" si="9"/>
        <v>204.85381804720609</v>
      </c>
      <c r="N16" s="6">
        <f>'heat production'!$G$5</f>
        <v>4.6624882905618694</v>
      </c>
      <c r="O16" s="6">
        <f t="shared" si="3"/>
        <v>85.049070059513724</v>
      </c>
      <c r="P16" s="6">
        <f t="shared" si="10"/>
        <v>444.59606809151052</v>
      </c>
      <c r="Q16" s="6">
        <f>'heat production'!$G$6</f>
        <v>2.9774433151774988</v>
      </c>
      <c r="R16" s="6">
        <f t="shared" si="4"/>
        <v>64.547435925228825</v>
      </c>
      <c r="S16" s="6">
        <f t="shared" si="11"/>
        <v>330.40772100385453</v>
      </c>
      <c r="T16" s="6">
        <f>'heat production'!$G$7</f>
        <v>2.0012452132621878</v>
      </c>
      <c r="U16" s="6">
        <f t="shared" si="5"/>
        <v>53.467746346812831</v>
      </c>
      <c r="V16" s="6">
        <f t="shared" si="12"/>
        <v>267.45500468804647</v>
      </c>
    </row>
    <row r="17" spans="1:22" x14ac:dyDescent="0.2">
      <c r="A17" t="s">
        <v>29</v>
      </c>
      <c r="B17" t="s">
        <v>51</v>
      </c>
      <c r="C17" s="1">
        <v>11</v>
      </c>
      <c r="D17" s="7">
        <f t="shared" si="6"/>
        <v>2.0437756535881832</v>
      </c>
      <c r="E17" s="8">
        <f>'heat production'!$F$5</f>
        <v>2.0771286610385076</v>
      </c>
      <c r="F17" s="6">
        <f t="shared" si="0"/>
        <v>55.420815701531332</v>
      </c>
      <c r="G17" s="6">
        <f t="shared" si="7"/>
        <v>311.93046873252166</v>
      </c>
      <c r="H17" s="6">
        <f>'heat production'!$F$6</f>
        <v>1.2681298034648711</v>
      </c>
      <c r="I17" s="6">
        <f t="shared" si="1"/>
        <v>46.368551092798938</v>
      </c>
      <c r="J17" s="6">
        <f t="shared" si="8"/>
        <v>252.53445385705041</v>
      </c>
      <c r="K17" s="6">
        <f>'heat production'!$F$7</f>
        <v>0.86196504392674722</v>
      </c>
      <c r="L17" s="6">
        <f t="shared" si="2"/>
        <v>42.383766206924889</v>
      </c>
      <c r="M17" s="6">
        <f t="shared" si="9"/>
        <v>225.22756316145177</v>
      </c>
      <c r="N17" s="6">
        <f>'heat production'!$G$5</f>
        <v>4.6624882905618694</v>
      </c>
      <c r="O17" s="6">
        <f t="shared" si="3"/>
        <v>80.386581768951856</v>
      </c>
      <c r="P17" s="6">
        <f t="shared" si="10"/>
        <v>483.95801582248072</v>
      </c>
      <c r="Q17" s="6">
        <f>'heat production'!$G$6</f>
        <v>2.9774433151774988</v>
      </c>
      <c r="R17" s="6">
        <f t="shared" si="4"/>
        <v>61.56999261005133</v>
      </c>
      <c r="S17" s="6">
        <f t="shared" si="11"/>
        <v>360.41472115831522</v>
      </c>
      <c r="T17" s="6">
        <f>'heat production'!$G$7</f>
        <v>2.0012452132621878</v>
      </c>
      <c r="U17" s="6">
        <f t="shared" si="5"/>
        <v>51.466501133550643</v>
      </c>
      <c r="V17" s="6">
        <f t="shared" si="12"/>
        <v>292.42191066544387</v>
      </c>
    </row>
    <row r="18" spans="1:22" x14ac:dyDescent="0.2">
      <c r="A18" t="s">
        <v>29</v>
      </c>
      <c r="B18" t="s">
        <v>51</v>
      </c>
      <c r="C18" s="1">
        <v>12</v>
      </c>
      <c r="D18" s="7">
        <f t="shared" si="6"/>
        <v>1.9896780265683991</v>
      </c>
      <c r="E18" s="8">
        <f>'heat production'!$F$5</f>
        <v>2.0771286610385076</v>
      </c>
      <c r="F18" s="6">
        <f t="shared" si="0"/>
        <v>53.343687040492824</v>
      </c>
      <c r="G18" s="6">
        <f t="shared" si="7"/>
        <v>338.53918739277924</v>
      </c>
      <c r="H18" s="6">
        <f>'heat production'!$F$6</f>
        <v>1.2681298034648711</v>
      </c>
      <c r="I18" s="6">
        <f t="shared" si="1"/>
        <v>45.100421289334065</v>
      </c>
      <c r="J18" s="6">
        <f t="shared" si="8"/>
        <v>274.91190321690164</v>
      </c>
      <c r="K18" s="6">
        <f>'heat production'!$F$7</f>
        <v>0.86196504392674722</v>
      </c>
      <c r="L18" s="6">
        <f t="shared" si="2"/>
        <v>41.521801162998145</v>
      </c>
      <c r="M18" s="6">
        <f t="shared" si="9"/>
        <v>245.75466143239285</v>
      </c>
      <c r="N18" s="6">
        <f>'heat production'!$G$5</f>
        <v>4.6624882905618694</v>
      </c>
      <c r="O18" s="6">
        <f t="shared" si="3"/>
        <v>75.724093478389989</v>
      </c>
      <c r="P18" s="6">
        <f t="shared" si="10"/>
        <v>522.14975055942796</v>
      </c>
      <c r="Q18" s="6">
        <f>'heat production'!$G$6</f>
        <v>2.9774433151774988</v>
      </c>
      <c r="R18" s="6">
        <f t="shared" si="4"/>
        <v>58.592549294873834</v>
      </c>
      <c r="S18" s="6">
        <f t="shared" si="11"/>
        <v>389.81191592721268</v>
      </c>
      <c r="T18" s="6">
        <f>'heat production'!$G$7</f>
        <v>2.0012452132621878</v>
      </c>
      <c r="U18" s="6">
        <f t="shared" si="5"/>
        <v>49.465255920288456</v>
      </c>
      <c r="V18" s="6">
        <f t="shared" si="12"/>
        <v>317.11438532053546</v>
      </c>
    </row>
    <row r="19" spans="1:22" x14ac:dyDescent="0.2">
      <c r="A19" t="s">
        <v>29</v>
      </c>
      <c r="B19" t="s">
        <v>51</v>
      </c>
      <c r="C19" s="1">
        <v>13</v>
      </c>
      <c r="D19" s="7">
        <f t="shared" si="6"/>
        <v>1.93897281818593</v>
      </c>
      <c r="E19" s="8">
        <f>'heat production'!$F$5</f>
        <v>2.0771286610385076</v>
      </c>
      <c r="F19" s="6">
        <f t="shared" si="0"/>
        <v>51.266558379454317</v>
      </c>
      <c r="G19" s="6">
        <f t="shared" si="7"/>
        <v>364.82742197723826</v>
      </c>
      <c r="H19" s="6">
        <f>'heat production'!$F$6</f>
        <v>1.2681298034648711</v>
      </c>
      <c r="I19" s="6">
        <f t="shared" si="1"/>
        <v>43.832291485869192</v>
      </c>
      <c r="J19" s="6">
        <f t="shared" si="8"/>
        <v>297.26042181832224</v>
      </c>
      <c r="K19" s="6">
        <f>'heat production'!$F$7</f>
        <v>0.86196504392674722</v>
      </c>
      <c r="L19" s="6">
        <f t="shared" si="2"/>
        <v>40.6598361190714</v>
      </c>
      <c r="M19" s="6">
        <f t="shared" si="9"/>
        <v>266.40665541953263</v>
      </c>
      <c r="N19" s="6">
        <f>'heat production'!$G$5</f>
        <v>4.6624882905618694</v>
      </c>
      <c r="O19" s="6">
        <f t="shared" si="3"/>
        <v>71.061605187828121</v>
      </c>
      <c r="P19" s="6">
        <f t="shared" si="10"/>
        <v>559.03654749495524</v>
      </c>
      <c r="Q19" s="6">
        <f>'heat production'!$G$6</f>
        <v>2.9774433151774988</v>
      </c>
      <c r="R19" s="6">
        <f t="shared" si="4"/>
        <v>55.615105979696338</v>
      </c>
      <c r="S19" s="6">
        <f t="shared" si="11"/>
        <v>418.51195024169527</v>
      </c>
      <c r="T19" s="6">
        <f>'heat production'!$G$7</f>
        <v>2.0012452132621878</v>
      </c>
      <c r="U19" s="6">
        <f t="shared" si="5"/>
        <v>47.464010707026269</v>
      </c>
      <c r="V19" s="6">
        <f t="shared" si="12"/>
        <v>341.47241343689581</v>
      </c>
    </row>
    <row r="20" spans="1:22" x14ac:dyDescent="0.2">
      <c r="A20" t="s">
        <v>29</v>
      </c>
      <c r="B20" t="s">
        <v>51</v>
      </c>
      <c r="C20" s="1">
        <v>14</v>
      </c>
      <c r="D20" s="7">
        <f t="shared" si="6"/>
        <v>1.8914741760397598</v>
      </c>
      <c r="E20" s="8">
        <f>'heat production'!$F$5</f>
        <v>2.0771286610385076</v>
      </c>
      <c r="F20" s="6">
        <f t="shared" si="0"/>
        <v>49.189429718415809</v>
      </c>
      <c r="G20" s="6">
        <f t="shared" si="7"/>
        <v>390.73185631372758</v>
      </c>
      <c r="H20" s="6">
        <f>'heat production'!$F$6</f>
        <v>1.2681298034648711</v>
      </c>
      <c r="I20" s="6">
        <f t="shared" si="1"/>
        <v>42.564161682404318</v>
      </c>
      <c r="J20" s="6">
        <f t="shared" si="8"/>
        <v>319.53934506003759</v>
      </c>
      <c r="K20" s="6">
        <f>'heat production'!$F$7</f>
        <v>0.86196504392674722</v>
      </c>
      <c r="L20" s="6">
        <f t="shared" si="2"/>
        <v>39.797871075144656</v>
      </c>
      <c r="M20" s="6">
        <f t="shared" si="9"/>
        <v>287.15416318230024</v>
      </c>
      <c r="N20" s="6">
        <f>'heat production'!$G$5</f>
        <v>4.6624882905618694</v>
      </c>
      <c r="O20" s="6">
        <f t="shared" si="3"/>
        <v>66.399116897266254</v>
      </c>
      <c r="P20" s="6">
        <f t="shared" si="10"/>
        <v>594.48333684543729</v>
      </c>
      <c r="Q20" s="6">
        <f>'heat production'!$G$6</f>
        <v>2.9774433151774988</v>
      </c>
      <c r="R20" s="6">
        <f t="shared" si="4"/>
        <v>52.637662664518842</v>
      </c>
      <c r="S20" s="6">
        <f t="shared" si="11"/>
        <v>446.42692863357769</v>
      </c>
      <c r="T20" s="6">
        <f>'heat production'!$G$7</f>
        <v>2.0012452132621878</v>
      </c>
      <c r="U20" s="6">
        <f t="shared" si="5"/>
        <v>45.462765493764081</v>
      </c>
      <c r="V20" s="6">
        <f t="shared" si="12"/>
        <v>365.43530124254619</v>
      </c>
    </row>
    <row r="21" spans="1:22" x14ac:dyDescent="0.2">
      <c r="A21" t="s">
        <v>29</v>
      </c>
      <c r="B21" t="s">
        <v>51</v>
      </c>
      <c r="C21" s="1">
        <v>15</v>
      </c>
      <c r="D21" s="7">
        <f t="shared" si="6"/>
        <v>1.8470103730690384</v>
      </c>
      <c r="E21" s="8">
        <f>'heat production'!$F$5</f>
        <v>2.0771286610385076</v>
      </c>
      <c r="F21" s="6">
        <f t="shared" si="0"/>
        <v>47.112301057377302</v>
      </c>
      <c r="G21" s="6">
        <f t="shared" si="7"/>
        <v>416.18864869178242</v>
      </c>
      <c r="H21" s="6">
        <f>'heat production'!$F$6</f>
        <v>1.2681298034648711</v>
      </c>
      <c r="I21" s="6">
        <f t="shared" si="1"/>
        <v>41.296031878939445</v>
      </c>
      <c r="J21" s="6">
        <f t="shared" si="8"/>
        <v>341.70729073533215</v>
      </c>
      <c r="K21" s="6">
        <f>'heat production'!$F$7</f>
        <v>0.86196504392674722</v>
      </c>
      <c r="L21" s="6">
        <f t="shared" si="2"/>
        <v>38.935906031217911</v>
      </c>
      <c r="M21" s="6">
        <f t="shared" si="9"/>
        <v>307.9669710185695</v>
      </c>
      <c r="N21" s="6">
        <f>'heat production'!$G$5</f>
        <v>4.6624882905618694</v>
      </c>
      <c r="O21" s="6">
        <f t="shared" si="3"/>
        <v>61.736628606704386</v>
      </c>
      <c r="P21" s="6">
        <f t="shared" si="10"/>
        <v>628.35526254422018</v>
      </c>
      <c r="Q21" s="6">
        <f>'heat production'!$G$6</f>
        <v>2.9774433151774988</v>
      </c>
      <c r="R21" s="6">
        <f t="shared" si="4"/>
        <v>49.660219349341347</v>
      </c>
      <c r="S21" s="6">
        <f t="shared" si="11"/>
        <v>473.46876809131868</v>
      </c>
      <c r="T21" s="6">
        <f>'heat production'!$G$7</f>
        <v>2.0012452132621878</v>
      </c>
      <c r="U21" s="6">
        <f t="shared" si="5"/>
        <v>43.461520280501894</v>
      </c>
      <c r="V21" s="6">
        <f t="shared" si="12"/>
        <v>388.94190971246712</v>
      </c>
    </row>
    <row r="22" spans="1:22" x14ac:dyDescent="0.2">
      <c r="A22" t="s">
        <v>30</v>
      </c>
      <c r="B22" t="s">
        <v>6</v>
      </c>
      <c r="C22" s="1">
        <v>16</v>
      </c>
      <c r="D22" s="7">
        <f>2.6*(1 + 0.0000015*C22)/(1 + 0.0001*G22)</f>
        <v>2.4902108133017027</v>
      </c>
      <c r="E22" s="8">
        <f>'heat production'!$F$9</f>
        <v>0.37646551651411958</v>
      </c>
      <c r="F22" s="6">
        <f t="shared" si="0"/>
        <v>45.035172396338794</v>
      </c>
      <c r="G22" s="6">
        <f t="shared" si="7"/>
        <v>441.13368278506738</v>
      </c>
      <c r="H22" s="6">
        <f>'heat production'!$F$10</f>
        <v>0.16782925314477465</v>
      </c>
      <c r="I22" s="6">
        <f t="shared" si="1"/>
        <v>40.027902075474572</v>
      </c>
      <c r="J22" s="6">
        <f t="shared" si="8"/>
        <v>363.72230893452183</v>
      </c>
      <c r="K22" s="6">
        <f>'heat production'!$F$11</f>
        <v>8.6414207803799201E-2</v>
      </c>
      <c r="L22" s="6">
        <f t="shared" si="2"/>
        <v>38.073940987291166</v>
      </c>
      <c r="M22" s="6">
        <f t="shared" si="9"/>
        <v>328.81413250216946</v>
      </c>
      <c r="N22" s="6">
        <f>'heat production'!$G$9</f>
        <v>0.87808917983926915</v>
      </c>
      <c r="O22" s="6">
        <f t="shared" si="3"/>
        <v>57.074140316142518</v>
      </c>
      <c r="P22" s="6">
        <f t="shared" si="10"/>
        <v>660.51825703932627</v>
      </c>
      <c r="Q22" s="6">
        <f>'heat production'!$G$10</f>
        <v>0.44511566809016384</v>
      </c>
      <c r="R22" s="6">
        <f t="shared" si="4"/>
        <v>46.682776034163851</v>
      </c>
      <c r="S22" s="6">
        <f t="shared" si="11"/>
        <v>499.54956243559172</v>
      </c>
      <c r="T22" s="6">
        <f>'heat production'!$G$11</f>
        <v>0.2275114611349858</v>
      </c>
      <c r="U22" s="6">
        <f t="shared" si="5"/>
        <v>41.460275067239706</v>
      </c>
      <c r="V22" s="6">
        <f t="shared" si="12"/>
        <v>411.93089683077807</v>
      </c>
    </row>
    <row r="23" spans="1:22" x14ac:dyDescent="0.2">
      <c r="A23" t="s">
        <v>30</v>
      </c>
      <c r="B23" t="s">
        <v>6</v>
      </c>
      <c r="C23" s="1">
        <v>17</v>
      </c>
      <c r="D23" s="7">
        <f t="shared" ref="D23:D45" si="13">2.6*(1 + 0.0000015*C23)/(1 + 0.0001*G23)</f>
        <v>2.4859267204524262</v>
      </c>
      <c r="E23" s="8">
        <f>'heat production'!$F$9</f>
        <v>0.37646551651411958</v>
      </c>
      <c r="F23" s="6">
        <f t="shared" si="0"/>
        <v>44.658706879824678</v>
      </c>
      <c r="G23" s="6">
        <f t="shared" si="7"/>
        <v>459.14297717834825</v>
      </c>
      <c r="H23" s="6">
        <f>'heat production'!$F$10</f>
        <v>0.16782925314477465</v>
      </c>
      <c r="I23" s="6">
        <f t="shared" si="1"/>
        <v>39.860072822329798</v>
      </c>
      <c r="J23" s="6">
        <f t="shared" si="8"/>
        <v>379.76271291780614</v>
      </c>
      <c r="K23" s="6">
        <f>'heat production'!$F$11</f>
        <v>8.6414207803799201E-2</v>
      </c>
      <c r="L23" s="6">
        <f t="shared" si="2"/>
        <v>37.987526779487368</v>
      </c>
      <c r="M23" s="6">
        <f t="shared" si="9"/>
        <v>344.08622660771442</v>
      </c>
      <c r="N23" s="6">
        <f>'heat production'!$G$9</f>
        <v>0.87808917983926915</v>
      </c>
      <c r="O23" s="6">
        <f t="shared" si="3"/>
        <v>56.196051136303247</v>
      </c>
      <c r="P23" s="6">
        <f t="shared" si="10"/>
        <v>683.26134988259128</v>
      </c>
      <c r="Q23" s="6">
        <f>'heat production'!$G$10</f>
        <v>0.44511566809016384</v>
      </c>
      <c r="R23" s="6">
        <f t="shared" si="4"/>
        <v>46.23766036607369</v>
      </c>
      <c r="S23" s="6">
        <f t="shared" si="11"/>
        <v>518.20670501643144</v>
      </c>
      <c r="T23" s="6">
        <f>'heat production'!$G$11</f>
        <v>0.2275114611349858</v>
      </c>
      <c r="U23" s="6">
        <f t="shared" si="5"/>
        <v>41.232763606104719</v>
      </c>
      <c r="V23" s="6">
        <f t="shared" si="12"/>
        <v>428.53451894815692</v>
      </c>
    </row>
    <row r="24" spans="1:22" x14ac:dyDescent="0.2">
      <c r="A24" t="s">
        <v>30</v>
      </c>
      <c r="B24" t="s">
        <v>6</v>
      </c>
      <c r="C24" s="1">
        <v>18</v>
      </c>
      <c r="D24" s="7">
        <f t="shared" si="13"/>
        <v>2.4816858748887962</v>
      </c>
      <c r="E24" s="8">
        <f>'heat production'!$F$9</f>
        <v>0.37646551651411958</v>
      </c>
      <c r="F24" s="6">
        <f t="shared" si="0"/>
        <v>44.282241363310561</v>
      </c>
      <c r="G24" s="6">
        <f t="shared" si="7"/>
        <v>477.03186897700681</v>
      </c>
      <c r="H24" s="6">
        <f>'heat production'!$F$10</f>
        <v>0.16782925314477465</v>
      </c>
      <c r="I24" s="6">
        <f t="shared" si="1"/>
        <v>39.692243569185024</v>
      </c>
      <c r="J24" s="6">
        <f t="shared" si="8"/>
        <v>395.76324819847537</v>
      </c>
      <c r="K24" s="6">
        <f>'heat production'!$F$11</f>
        <v>8.6414207803799201E-2</v>
      </c>
      <c r="L24" s="6">
        <f t="shared" si="2"/>
        <v>37.901112571683569</v>
      </c>
      <c r="M24" s="6">
        <f t="shared" si="9"/>
        <v>359.34987833300733</v>
      </c>
      <c r="N24" s="6">
        <f>'heat production'!$G$9</f>
        <v>0.87808917983926915</v>
      </c>
      <c r="O24" s="6">
        <f t="shared" si="3"/>
        <v>55.317961956463975</v>
      </c>
      <c r="P24" s="6">
        <f t="shared" si="10"/>
        <v>705.69041268949343</v>
      </c>
      <c r="Q24" s="6">
        <f>'heat production'!$G$10</f>
        <v>0.44511566809016384</v>
      </c>
      <c r="R24" s="6">
        <f t="shared" si="4"/>
        <v>45.79254469798353</v>
      </c>
      <c r="S24" s="6">
        <f t="shared" si="11"/>
        <v>536.71694594728797</v>
      </c>
      <c r="T24" s="6">
        <f>'heat production'!$G$11</f>
        <v>0.2275114611349858</v>
      </c>
      <c r="U24" s="6">
        <f t="shared" si="5"/>
        <v>41.005252144969731</v>
      </c>
      <c r="V24" s="6">
        <f t="shared" si="12"/>
        <v>445.07523494643613</v>
      </c>
    </row>
    <row r="25" spans="1:22" x14ac:dyDescent="0.2">
      <c r="A25" t="s">
        <v>30</v>
      </c>
      <c r="B25" t="s">
        <v>6</v>
      </c>
      <c r="C25" s="1">
        <v>19</v>
      </c>
      <c r="D25" s="7">
        <f t="shared" si="13"/>
        <v>2.4774880807291817</v>
      </c>
      <c r="E25" s="8">
        <f>'heat production'!$F$9</f>
        <v>0.37646551651411958</v>
      </c>
      <c r="F25" s="6">
        <f t="shared" si="0"/>
        <v>43.905775846796445</v>
      </c>
      <c r="G25" s="6">
        <f t="shared" si="7"/>
        <v>494.79963283915527</v>
      </c>
      <c r="H25" s="6">
        <f>'heat production'!$F$10</f>
        <v>0.16782925314477465</v>
      </c>
      <c r="I25" s="6">
        <f t="shared" si="1"/>
        <v>39.52441431604025</v>
      </c>
      <c r="J25" s="6">
        <f t="shared" si="8"/>
        <v>411.72349898742237</v>
      </c>
      <c r="K25" s="6">
        <f>'heat production'!$F$11</f>
        <v>8.6414207803799201E-2</v>
      </c>
      <c r="L25" s="6">
        <f t="shared" si="2"/>
        <v>37.814698363879771</v>
      </c>
      <c r="M25" s="6">
        <f t="shared" si="9"/>
        <v>374.60479268411473</v>
      </c>
      <c r="N25" s="6">
        <f>'heat production'!$G$9</f>
        <v>0.87808917983926915</v>
      </c>
      <c r="O25" s="6">
        <f t="shared" si="3"/>
        <v>54.439872776624703</v>
      </c>
      <c r="P25" s="6">
        <f t="shared" si="10"/>
        <v>727.80397586114316</v>
      </c>
      <c r="Q25" s="6">
        <f>'heat production'!$G$10</f>
        <v>0.44511566809016384</v>
      </c>
      <c r="R25" s="6">
        <f t="shared" si="4"/>
        <v>45.34742902989337</v>
      </c>
      <c r="S25" s="6">
        <f t="shared" si="11"/>
        <v>555.07945803032123</v>
      </c>
      <c r="T25" s="6">
        <f>'heat production'!$G$11</f>
        <v>0.2275114611349858</v>
      </c>
      <c r="U25" s="6">
        <f t="shared" si="5"/>
        <v>40.777740683834743</v>
      </c>
      <c r="V25" s="6">
        <f t="shared" si="12"/>
        <v>461.55254048625778</v>
      </c>
    </row>
    <row r="26" spans="1:22" x14ac:dyDescent="0.2">
      <c r="A26" t="s">
        <v>30</v>
      </c>
      <c r="B26" t="s">
        <v>6</v>
      </c>
      <c r="C26" s="1">
        <v>20</v>
      </c>
      <c r="D26" s="7">
        <f t="shared" si="13"/>
        <v>2.4733331442882323</v>
      </c>
      <c r="E26" s="8">
        <f>'heat production'!$F$9</f>
        <v>0.37646551651411958</v>
      </c>
      <c r="F26" s="6">
        <f t="shared" si="0"/>
        <v>43.529310330282328</v>
      </c>
      <c r="G26" s="6">
        <f t="shared" si="7"/>
        <v>512.44554743652122</v>
      </c>
      <c r="H26" s="6">
        <f>'heat production'!$F$10</f>
        <v>0.16782925314477465</v>
      </c>
      <c r="I26" s="6">
        <f t="shared" si="1"/>
        <v>39.356585062895476</v>
      </c>
      <c r="J26" s="6">
        <f t="shared" si="8"/>
        <v>427.64305072866006</v>
      </c>
      <c r="K26" s="6">
        <f>'heat production'!$F$11</f>
        <v>8.6414207803799201E-2</v>
      </c>
      <c r="L26" s="6">
        <f t="shared" si="2"/>
        <v>37.728284156075972</v>
      </c>
      <c r="M26" s="6">
        <f t="shared" si="9"/>
        <v>389.85067481520485</v>
      </c>
      <c r="N26" s="6">
        <f>'heat production'!$G$9</f>
        <v>0.87808917983926915</v>
      </c>
      <c r="O26" s="6">
        <f t="shared" si="3"/>
        <v>53.561783596785432</v>
      </c>
      <c r="P26" s="6">
        <f t="shared" si="10"/>
        <v>749.60058049740496</v>
      </c>
      <c r="Q26" s="6">
        <f>'heat production'!$G$10</f>
        <v>0.44511566809016384</v>
      </c>
      <c r="R26" s="6">
        <f t="shared" si="4"/>
        <v>44.902313361803209</v>
      </c>
      <c r="S26" s="6">
        <f t="shared" si="11"/>
        <v>573.29341899620692</v>
      </c>
      <c r="T26" s="6">
        <f>'heat production'!$G$11</f>
        <v>0.2275114611349858</v>
      </c>
      <c r="U26" s="6">
        <f t="shared" si="5"/>
        <v>40.550229222699755</v>
      </c>
      <c r="V26" s="6">
        <f t="shared" si="12"/>
        <v>477.96593325676866</v>
      </c>
    </row>
    <row r="27" spans="1:22" x14ac:dyDescent="0.2">
      <c r="A27" t="s">
        <v>30</v>
      </c>
      <c r="B27" t="s">
        <v>6</v>
      </c>
      <c r="C27" s="1">
        <v>21</v>
      </c>
      <c r="D27" s="7">
        <f t="shared" si="13"/>
        <v>2.4692208740620103</v>
      </c>
      <c r="E27" s="8">
        <f>'heat production'!$F$9</f>
        <v>0.37646551651411958</v>
      </c>
      <c r="F27" s="6">
        <f t="shared" si="0"/>
        <v>43.152844813768212</v>
      </c>
      <c r="G27" s="6">
        <f t="shared" si="7"/>
        <v>529.96889550312301</v>
      </c>
      <c r="H27" s="6">
        <f>'heat production'!$F$10</f>
        <v>0.16782925314477465</v>
      </c>
      <c r="I27" s="6">
        <f t="shared" si="1"/>
        <v>39.188755809750702</v>
      </c>
      <c r="J27" s="6">
        <f t="shared" si="8"/>
        <v>443.52149012410382</v>
      </c>
      <c r="K27" s="6">
        <f>'heat production'!$F$11</f>
        <v>8.6414207803799201E-2</v>
      </c>
      <c r="L27" s="6">
        <f t="shared" si="2"/>
        <v>37.641869948272173</v>
      </c>
      <c r="M27" s="6">
        <f t="shared" si="9"/>
        <v>405.08723004400679</v>
      </c>
      <c r="N27" s="6">
        <f>'heat production'!$G$9</f>
        <v>0.87808917983926915</v>
      </c>
      <c r="O27" s="6">
        <f t="shared" si="3"/>
        <v>52.68369441694616</v>
      </c>
      <c r="P27" s="6">
        <f t="shared" si="10"/>
        <v>771.07877850301702</v>
      </c>
      <c r="Q27" s="6">
        <f>'heat production'!$G$10</f>
        <v>0.44511566809016384</v>
      </c>
      <c r="R27" s="6">
        <f t="shared" si="4"/>
        <v>44.457197693713049</v>
      </c>
      <c r="S27" s="6">
        <f t="shared" si="11"/>
        <v>591.3580115606735</v>
      </c>
      <c r="T27" s="6">
        <f>'heat production'!$G$11</f>
        <v>0.2275114611349858</v>
      </c>
      <c r="U27" s="6">
        <f t="shared" si="5"/>
        <v>40.322717761564768</v>
      </c>
      <c r="V27" s="6">
        <f t="shared" si="12"/>
        <v>494.31491300723769</v>
      </c>
    </row>
    <row r="28" spans="1:22" x14ac:dyDescent="0.2">
      <c r="A28" t="s">
        <v>30</v>
      </c>
      <c r="B28" t="s">
        <v>6</v>
      </c>
      <c r="C28" s="1">
        <v>22</v>
      </c>
      <c r="D28" s="7">
        <f t="shared" si="13"/>
        <v>2.465151080713309</v>
      </c>
      <c r="E28" s="8">
        <f>'heat production'!$F$9</f>
        <v>0.37646551651411958</v>
      </c>
      <c r="F28" s="6">
        <f t="shared" si="0"/>
        <v>42.776379297254095</v>
      </c>
      <c r="G28" s="6">
        <f t="shared" si="7"/>
        <v>547.36896388373407</v>
      </c>
      <c r="H28" s="6">
        <f>'heat production'!$F$10</f>
        <v>0.16782925314477465</v>
      </c>
      <c r="I28" s="6">
        <f t="shared" si="1"/>
        <v>39.020926556605929</v>
      </c>
      <c r="J28" s="6">
        <f t="shared" si="8"/>
        <v>459.35840515829778</v>
      </c>
      <c r="K28" s="6">
        <f>'heat production'!$F$11</f>
        <v>8.6414207803799201E-2</v>
      </c>
      <c r="L28" s="6">
        <f t="shared" si="2"/>
        <v>37.555455740468375</v>
      </c>
      <c r="M28" s="6">
        <f t="shared" si="9"/>
        <v>420.31416386727324</v>
      </c>
      <c r="N28" s="6">
        <f>'heat production'!$G$9</f>
        <v>0.87808917983926915</v>
      </c>
      <c r="O28" s="6">
        <f t="shared" si="3"/>
        <v>51.805605237106889</v>
      </c>
      <c r="P28" s="6">
        <f t="shared" si="10"/>
        <v>792.23713269313089</v>
      </c>
      <c r="Q28" s="6">
        <f>'heat production'!$G$10</f>
        <v>0.44511566809016384</v>
      </c>
      <c r="R28" s="6">
        <f t="shared" si="4"/>
        <v>44.012082025622888</v>
      </c>
      <c r="S28" s="6">
        <f t="shared" si="11"/>
        <v>609.27242348077834</v>
      </c>
      <c r="T28" s="6">
        <f>'heat production'!$G$11</f>
        <v>0.2275114611349858</v>
      </c>
      <c r="U28" s="6">
        <f t="shared" si="5"/>
        <v>40.09520630042978</v>
      </c>
      <c r="V28" s="6">
        <f t="shared" si="12"/>
        <v>510.59898157857259</v>
      </c>
    </row>
    <row r="29" spans="1:22" x14ac:dyDescent="0.2">
      <c r="A29" t="s">
        <v>30</v>
      </c>
      <c r="B29" t="s">
        <v>6</v>
      </c>
      <c r="C29" s="1">
        <v>23</v>
      </c>
      <c r="D29" s="7">
        <f t="shared" si="13"/>
        <v>2.4611235770571547</v>
      </c>
      <c r="E29" s="8">
        <f>'heat production'!$F$9</f>
        <v>0.37646551651411958</v>
      </c>
      <c r="F29" s="6">
        <f t="shared" si="0"/>
        <v>42.399913780739979</v>
      </c>
      <c r="G29" s="6">
        <f t="shared" si="7"/>
        <v>564.64504358213287</v>
      </c>
      <c r="H29" s="6">
        <f>'heat production'!$F$10</f>
        <v>0.16782925314477465</v>
      </c>
      <c r="I29" s="6">
        <f t="shared" si="1"/>
        <v>38.853097303461155</v>
      </c>
      <c r="J29" s="6">
        <f t="shared" si="8"/>
        <v>475.15338512308227</v>
      </c>
      <c r="K29" s="6">
        <f>'heat production'!$F$11</f>
        <v>8.6414207803799201E-2</v>
      </c>
      <c r="L29" s="6">
        <f t="shared" si="2"/>
        <v>37.469041532664576</v>
      </c>
      <c r="M29" s="6">
        <f t="shared" si="9"/>
        <v>435.53118197624531</v>
      </c>
      <c r="N29" s="6">
        <f>'heat production'!$G$9</f>
        <v>0.87808917983926915</v>
      </c>
      <c r="O29" s="6">
        <f t="shared" si="3"/>
        <v>50.927516057267617</v>
      </c>
      <c r="P29" s="6">
        <f t="shared" si="10"/>
        <v>813.07421689825958</v>
      </c>
      <c r="Q29" s="6">
        <f>'heat production'!$G$10</f>
        <v>0.44511566809016384</v>
      </c>
      <c r="R29" s="6">
        <f t="shared" si="4"/>
        <v>43.566966357532728</v>
      </c>
      <c r="S29" s="6">
        <f t="shared" si="11"/>
        <v>627.03584761091599</v>
      </c>
      <c r="T29" s="6">
        <f>'heat production'!$G$11</f>
        <v>0.2275114611349858</v>
      </c>
      <c r="U29" s="6">
        <f t="shared" si="5"/>
        <v>39.867694839294792</v>
      </c>
      <c r="V29" s="6">
        <f t="shared" si="12"/>
        <v>526.81764293473316</v>
      </c>
    </row>
    <row r="30" spans="1:22" x14ac:dyDescent="0.2">
      <c r="A30" t="s">
        <v>30</v>
      </c>
      <c r="B30" t="s">
        <v>6</v>
      </c>
      <c r="C30" s="1">
        <v>24</v>
      </c>
      <c r="D30" s="7">
        <f t="shared" si="13"/>
        <v>2.4571381780464838</v>
      </c>
      <c r="E30" s="8">
        <f>'heat production'!$F$9</f>
        <v>0.37646551651411958</v>
      </c>
      <c r="F30" s="6">
        <f t="shared" si="0"/>
        <v>42.023448264225863</v>
      </c>
      <c r="G30" s="6">
        <f t="shared" si="7"/>
        <v>581.79642980913286</v>
      </c>
      <c r="H30" s="6">
        <f>'heat production'!$F$10</f>
        <v>0.16782925314477465</v>
      </c>
      <c r="I30" s="6">
        <f t="shared" si="1"/>
        <v>38.685268050316381</v>
      </c>
      <c r="J30" s="6">
        <f t="shared" si="8"/>
        <v>490.90602064220002</v>
      </c>
      <c r="K30" s="6">
        <f>'heat production'!$F$11</f>
        <v>8.6414207803799201E-2</v>
      </c>
      <c r="L30" s="6">
        <f t="shared" si="2"/>
        <v>37.382627324860778</v>
      </c>
      <c r="M30" s="6">
        <f t="shared" si="9"/>
        <v>450.73799027211885</v>
      </c>
      <c r="N30" s="6">
        <f>'heat production'!$G$9</f>
        <v>0.87808917983926915</v>
      </c>
      <c r="O30" s="6">
        <f t="shared" si="3"/>
        <v>50.049426877428346</v>
      </c>
      <c r="P30" s="6">
        <f t="shared" si="10"/>
        <v>833.5886160686249</v>
      </c>
      <c r="Q30" s="6">
        <f>'heat production'!$G$10</f>
        <v>0.44511566809016384</v>
      </c>
      <c r="R30" s="6">
        <f t="shared" si="4"/>
        <v>43.121850689442567</v>
      </c>
      <c r="S30" s="6">
        <f t="shared" si="11"/>
        <v>644.64748195855645</v>
      </c>
      <c r="T30" s="6">
        <f>'heat production'!$G$11</f>
        <v>0.2275114611349858</v>
      </c>
      <c r="U30" s="6">
        <f t="shared" si="5"/>
        <v>39.640183378159804</v>
      </c>
      <c r="V30" s="6">
        <f t="shared" si="12"/>
        <v>542.97040319403823</v>
      </c>
    </row>
    <row r="31" spans="1:22" x14ac:dyDescent="0.2">
      <c r="A31" t="s">
        <v>30</v>
      </c>
      <c r="B31" t="s">
        <v>6</v>
      </c>
      <c r="C31" s="1">
        <v>25</v>
      </c>
      <c r="D31" s="7">
        <f t="shared" si="13"/>
        <v>2.4531947007579982</v>
      </c>
      <c r="E31" s="8">
        <f>'heat production'!$F$9</f>
        <v>0.37646551651411958</v>
      </c>
      <c r="F31" s="6">
        <f t="shared" si="0"/>
        <v>41.646982747711746</v>
      </c>
      <c r="G31" s="6">
        <f t="shared" si="7"/>
        <v>598.82242203038811</v>
      </c>
      <c r="H31" s="6">
        <f>'heat production'!$F$10</f>
        <v>0.16782925314477465</v>
      </c>
      <c r="I31" s="6">
        <f t="shared" si="1"/>
        <v>38.517438797171607</v>
      </c>
      <c r="J31" s="6">
        <f t="shared" si="8"/>
        <v>506.6159036958399</v>
      </c>
      <c r="K31" s="6">
        <f>'heat production'!$F$11</f>
        <v>8.6414207803799201E-2</v>
      </c>
      <c r="L31" s="6">
        <f t="shared" si="2"/>
        <v>37.296213117056979</v>
      </c>
      <c r="M31" s="6">
        <f t="shared" si="9"/>
        <v>465.93429488151008</v>
      </c>
      <c r="N31" s="6">
        <f>'heat production'!$G$9</f>
        <v>0.87808917983926915</v>
      </c>
      <c r="O31" s="6">
        <f t="shared" si="3"/>
        <v>49.171337697589074</v>
      </c>
      <c r="P31" s="6">
        <f t="shared" si="10"/>
        <v>853.7789263778933</v>
      </c>
      <c r="Q31" s="6">
        <f>'heat production'!$G$10</f>
        <v>0.44511566809016384</v>
      </c>
      <c r="R31" s="6">
        <f t="shared" si="4"/>
        <v>42.676735021352407</v>
      </c>
      <c r="S31" s="6">
        <f t="shared" si="11"/>
        <v>662.1065297397048</v>
      </c>
      <c r="T31" s="6">
        <f>'heat production'!$G$11</f>
        <v>0.2275114611349858</v>
      </c>
      <c r="U31" s="6">
        <f t="shared" si="5"/>
        <v>39.412671917024817</v>
      </c>
      <c r="V31" s="6">
        <f t="shared" si="12"/>
        <v>559.05677066036333</v>
      </c>
    </row>
    <row r="32" spans="1:22" x14ac:dyDescent="0.2">
      <c r="A32" t="s">
        <v>30</v>
      </c>
      <c r="B32" t="s">
        <v>6</v>
      </c>
      <c r="C32" s="1">
        <v>26</v>
      </c>
      <c r="D32" s="7">
        <f t="shared" si="13"/>
        <v>2.4492929643781984</v>
      </c>
      <c r="E32" s="8">
        <f>'heat production'!$F$9</f>
        <v>0.37646551651411958</v>
      </c>
      <c r="F32" s="6">
        <f t="shared" si="0"/>
        <v>41.27051723119763</v>
      </c>
      <c r="G32" s="6">
        <f t="shared" si="7"/>
        <v>615.72232401397082</v>
      </c>
      <c r="H32" s="6">
        <f>'heat production'!$F$10</f>
        <v>0.16782925314477465</v>
      </c>
      <c r="I32" s="6">
        <f t="shared" si="1"/>
        <v>38.349609544026833</v>
      </c>
      <c r="J32" s="6">
        <f t="shared" si="8"/>
        <v>522.28262764511464</v>
      </c>
      <c r="K32" s="6">
        <f>'heat production'!$F$11</f>
        <v>8.6414207803799201E-2</v>
      </c>
      <c r="L32" s="6">
        <f t="shared" si="2"/>
        <v>37.20979890925318</v>
      </c>
      <c r="M32" s="6">
        <f t="shared" si="9"/>
        <v>481.11980217191984</v>
      </c>
      <c r="N32" s="6">
        <f>'heat production'!$G$9</f>
        <v>0.87808917983926915</v>
      </c>
      <c r="O32" s="6">
        <f t="shared" si="3"/>
        <v>48.293248517749802</v>
      </c>
      <c r="P32" s="6">
        <f t="shared" si="10"/>
        <v>873.64375532628935</v>
      </c>
      <c r="Q32" s="6">
        <f>'heat production'!$G$10</f>
        <v>0.44511566809016384</v>
      </c>
      <c r="R32" s="6">
        <f t="shared" si="4"/>
        <v>42.231619353262246</v>
      </c>
      <c r="S32" s="6">
        <f t="shared" si="11"/>
        <v>679.41219943407907</v>
      </c>
      <c r="T32" s="6">
        <f>'heat production'!$G$11</f>
        <v>0.2275114611349858</v>
      </c>
      <c r="U32" s="6">
        <f t="shared" si="5"/>
        <v>39.185160455889829</v>
      </c>
      <c r="V32" s="6">
        <f t="shared" si="12"/>
        <v>575.07625585422693</v>
      </c>
    </row>
    <row r="33" spans="1:22" x14ac:dyDescent="0.2">
      <c r="A33" t="s">
        <v>30</v>
      </c>
      <c r="B33" t="s">
        <v>6</v>
      </c>
      <c r="C33" s="1">
        <v>27</v>
      </c>
      <c r="D33" s="7">
        <f t="shared" si="13"/>
        <v>2.4454327901895923</v>
      </c>
      <c r="E33" s="8">
        <f>'heat production'!$F$9</f>
        <v>0.37646551651411958</v>
      </c>
      <c r="F33" s="6">
        <f t="shared" si="0"/>
        <v>40.894051714683513</v>
      </c>
      <c r="G33" s="6">
        <f t="shared" si="7"/>
        <v>632.49544387771493</v>
      </c>
      <c r="H33" s="6">
        <f>'heat production'!$F$10</f>
        <v>0.16782925314477465</v>
      </c>
      <c r="I33" s="6">
        <f t="shared" si="1"/>
        <v>38.18178029088206</v>
      </c>
      <c r="J33" s="6">
        <f t="shared" si="8"/>
        <v>537.90578725647174</v>
      </c>
      <c r="K33" s="6">
        <f>'heat production'!$F$11</f>
        <v>8.6414207803799201E-2</v>
      </c>
      <c r="L33" s="6">
        <f t="shared" si="2"/>
        <v>37.123384701449382</v>
      </c>
      <c r="M33" s="6">
        <f t="shared" si="9"/>
        <v>496.29421876719505</v>
      </c>
      <c r="N33" s="6">
        <f>'heat production'!$G$9</f>
        <v>0.87808917983926915</v>
      </c>
      <c r="O33" s="6">
        <f t="shared" si="3"/>
        <v>47.415159337910531</v>
      </c>
      <c r="P33" s="6">
        <f t="shared" si="10"/>
        <v>893.18172184307923</v>
      </c>
      <c r="Q33" s="6">
        <f>'heat production'!$G$10</f>
        <v>0.44511566809016384</v>
      </c>
      <c r="R33" s="6">
        <f t="shared" si="4"/>
        <v>41.786503685172086</v>
      </c>
      <c r="S33" s="6">
        <f t="shared" si="11"/>
        <v>696.56370484000013</v>
      </c>
      <c r="T33" s="6">
        <f>'heat production'!$G$11</f>
        <v>0.2275114611349858</v>
      </c>
      <c r="U33" s="6">
        <f t="shared" si="5"/>
        <v>38.957648994754841</v>
      </c>
      <c r="V33" s="6">
        <f t="shared" si="12"/>
        <v>591.02837154376073</v>
      </c>
    </row>
    <row r="34" spans="1:22" x14ac:dyDescent="0.2">
      <c r="A34" t="s">
        <v>30</v>
      </c>
      <c r="B34" t="s">
        <v>6</v>
      </c>
      <c r="C34" s="1">
        <v>28</v>
      </c>
      <c r="D34" s="7">
        <f t="shared" si="13"/>
        <v>2.4416140015570682</v>
      </c>
      <c r="E34" s="8">
        <f>'heat production'!$F$9</f>
        <v>0.37646551651411958</v>
      </c>
      <c r="F34" s="6">
        <f t="shared" si="0"/>
        <v>40.517586198169397</v>
      </c>
      <c r="G34" s="6">
        <f t="shared" si="7"/>
        <v>649.14109413632241</v>
      </c>
      <c r="H34" s="6">
        <f>'heat production'!$F$10</f>
        <v>0.16782925314477465</v>
      </c>
      <c r="I34" s="6">
        <f t="shared" si="1"/>
        <v>38.013951037737286</v>
      </c>
      <c r="J34" s="6">
        <f t="shared" si="8"/>
        <v>553.48497872603411</v>
      </c>
      <c r="K34" s="6">
        <f>'heat production'!$F$11</f>
        <v>8.6414207803799201E-2</v>
      </c>
      <c r="L34" s="6">
        <f t="shared" si="2"/>
        <v>37.036970493645583</v>
      </c>
      <c r="M34" s="6">
        <f t="shared" si="9"/>
        <v>511.45725156298607</v>
      </c>
      <c r="N34" s="6">
        <f>'heat production'!$G$9</f>
        <v>0.87808917983926915</v>
      </c>
      <c r="O34" s="6">
        <f t="shared" si="3"/>
        <v>46.537070158071259</v>
      </c>
      <c r="P34" s="6">
        <f t="shared" si="10"/>
        <v>912.39145638841057</v>
      </c>
      <c r="Q34" s="6">
        <f>'heat production'!$G$10</f>
        <v>0.44511566809016384</v>
      </c>
      <c r="R34" s="6">
        <f t="shared" si="4"/>
        <v>41.341388017081925</v>
      </c>
      <c r="S34" s="6">
        <f t="shared" si="11"/>
        <v>713.5602651289887</v>
      </c>
      <c r="T34" s="6">
        <f>'heat production'!$G$11</f>
        <v>0.2275114611349858</v>
      </c>
      <c r="U34" s="6">
        <f t="shared" si="5"/>
        <v>38.730137533619853</v>
      </c>
      <c r="V34" s="6">
        <f t="shared" si="12"/>
        <v>606.91263277556334</v>
      </c>
    </row>
    <row r="35" spans="1:22" x14ac:dyDescent="0.2">
      <c r="A35" t="s">
        <v>30</v>
      </c>
      <c r="B35" t="s">
        <v>6</v>
      </c>
      <c r="C35" s="1">
        <v>29</v>
      </c>
      <c r="D35" s="7">
        <f t="shared" si="13"/>
        <v>2.4378364239144568</v>
      </c>
      <c r="E35" s="8">
        <f>'heat production'!$F$9</f>
        <v>0.37646551651411958</v>
      </c>
      <c r="F35" s="6">
        <f t="shared" si="0"/>
        <v>40.141120681655281</v>
      </c>
      <c r="G35" s="6">
        <f t="shared" si="7"/>
        <v>665.65859174822731</v>
      </c>
      <c r="H35" s="6">
        <f>'heat production'!$F$10</f>
        <v>0.16782925314477465</v>
      </c>
      <c r="I35" s="6">
        <f t="shared" si="1"/>
        <v>37.846121784592512</v>
      </c>
      <c r="J35" s="6">
        <f t="shared" si="8"/>
        <v>569.01979970386935</v>
      </c>
      <c r="K35" s="6">
        <f>'heat production'!$F$11</f>
        <v>8.6414207803799201E-2</v>
      </c>
      <c r="L35" s="6">
        <f t="shared" si="2"/>
        <v>36.950556285841785</v>
      </c>
      <c r="M35" s="6">
        <f t="shared" si="9"/>
        <v>526.60860774219861</v>
      </c>
      <c r="N35" s="6">
        <f>'heat production'!$G$9</f>
        <v>0.87808917983926915</v>
      </c>
      <c r="O35" s="6">
        <f t="shared" si="3"/>
        <v>45.658980978231988</v>
      </c>
      <c r="P35" s="6">
        <f t="shared" si="10"/>
        <v>931.27160105450184</v>
      </c>
      <c r="Q35" s="6">
        <f>'heat production'!$G$10</f>
        <v>0.44511566809016384</v>
      </c>
      <c r="R35" s="6">
        <f t="shared" si="4"/>
        <v>40.896272348991765</v>
      </c>
      <c r="S35" s="6">
        <f t="shared" si="11"/>
        <v>730.40110490006418</v>
      </c>
      <c r="T35" s="6">
        <f>'heat production'!$G$11</f>
        <v>0.2275114611349858</v>
      </c>
      <c r="U35" s="6">
        <f t="shared" si="5"/>
        <v>38.502626072484865</v>
      </c>
      <c r="V35" s="6">
        <f t="shared" si="12"/>
        <v>622.72855690543236</v>
      </c>
    </row>
    <row r="36" spans="1:22" x14ac:dyDescent="0.2">
      <c r="A36" t="s">
        <v>30</v>
      </c>
      <c r="B36" t="s">
        <v>6</v>
      </c>
      <c r="C36" s="1">
        <v>30</v>
      </c>
      <c r="D36" s="7">
        <f t="shared" si="13"/>
        <v>2.4340998847512458</v>
      </c>
      <c r="E36" s="8">
        <f>'heat production'!$F$9</f>
        <v>0.37646551651411958</v>
      </c>
      <c r="F36" s="6">
        <f t="shared" si="0"/>
        <v>39.764655165141164</v>
      </c>
      <c r="G36" s="6">
        <f t="shared" si="7"/>
        <v>682.0472581622131</v>
      </c>
      <c r="H36" s="6">
        <f>'heat production'!$F$10</f>
        <v>0.16782925314477465</v>
      </c>
      <c r="I36" s="6">
        <f t="shared" si="1"/>
        <v>37.678292531447738</v>
      </c>
      <c r="J36" s="6">
        <f t="shared" si="8"/>
        <v>584.50984931818471</v>
      </c>
      <c r="K36" s="6">
        <f>'heat production'!$F$11</f>
        <v>8.6414207803799201E-2</v>
      </c>
      <c r="L36" s="6">
        <f t="shared" si="2"/>
        <v>36.864142078037986</v>
      </c>
      <c r="M36" s="6">
        <f t="shared" si="9"/>
        <v>541.74799479043929</v>
      </c>
      <c r="N36" s="6">
        <f>'heat production'!$G$9</f>
        <v>0.87808917983926915</v>
      </c>
      <c r="O36" s="6">
        <f t="shared" si="3"/>
        <v>44.780891798392716</v>
      </c>
      <c r="P36" s="6">
        <f t="shared" si="10"/>
        <v>949.82080966617002</v>
      </c>
      <c r="Q36" s="6">
        <f>'heat production'!$G$10</f>
        <v>0.44511566809016384</v>
      </c>
      <c r="R36" s="6">
        <f t="shared" si="4"/>
        <v>40.451156680901605</v>
      </c>
      <c r="S36" s="6">
        <f t="shared" si="11"/>
        <v>747.0854542337396</v>
      </c>
      <c r="T36" s="6">
        <f>'heat production'!$G$11</f>
        <v>0.2275114611349858</v>
      </c>
      <c r="U36" s="6">
        <f t="shared" si="5"/>
        <v>38.275114611349878</v>
      </c>
      <c r="V36" s="6">
        <f t="shared" si="12"/>
        <v>638.47566362897373</v>
      </c>
    </row>
    <row r="37" spans="1:22" x14ac:dyDescent="0.2">
      <c r="A37" t="s">
        <v>30</v>
      </c>
      <c r="B37" t="s">
        <v>6</v>
      </c>
      <c r="C37" s="1">
        <v>31</v>
      </c>
      <c r="D37" s="7">
        <f t="shared" si="13"/>
        <v>2.4304042135994717</v>
      </c>
      <c r="E37" s="8">
        <f>'heat production'!$F$9</f>
        <v>0.37646551651411958</v>
      </c>
      <c r="F37" s="6">
        <f t="shared" si="0"/>
        <v>39.388189648627048</v>
      </c>
      <c r="G37" s="6">
        <f t="shared" si="7"/>
        <v>698.30641936377924</v>
      </c>
      <c r="H37" s="6">
        <f>'heat production'!$F$10</f>
        <v>0.16782925314477465</v>
      </c>
      <c r="I37" s="6">
        <f t="shared" si="1"/>
        <v>37.510463278302964</v>
      </c>
      <c r="J37" s="6">
        <f t="shared" si="8"/>
        <v>599.95472819944609</v>
      </c>
      <c r="K37" s="6">
        <f>'heat production'!$F$11</f>
        <v>8.6414207803799201E-2</v>
      </c>
      <c r="L37" s="6">
        <f t="shared" si="2"/>
        <v>36.777727870234187</v>
      </c>
      <c r="M37" s="6">
        <f t="shared" si="9"/>
        <v>556.87512051145256</v>
      </c>
      <c r="N37" s="6">
        <f>'heat production'!$G$9</f>
        <v>0.87808917983926915</v>
      </c>
      <c r="O37" s="6">
        <f t="shared" si="3"/>
        <v>43.902802618553444</v>
      </c>
      <c r="P37" s="6">
        <f t="shared" si="10"/>
        <v>968.03774788068563</v>
      </c>
      <c r="Q37" s="6">
        <f>'heat production'!$G$10</f>
        <v>0.44511566809016384</v>
      </c>
      <c r="R37" s="6">
        <f t="shared" si="4"/>
        <v>40.006041012811444</v>
      </c>
      <c r="S37" s="6">
        <f t="shared" si="11"/>
        <v>763.61254874570852</v>
      </c>
      <c r="T37" s="6">
        <f>'heat production'!$G$11</f>
        <v>0.2275114611349858</v>
      </c>
      <c r="U37" s="6">
        <f t="shared" si="5"/>
        <v>38.04760315021489</v>
      </c>
      <c r="V37" s="6">
        <f t="shared" si="12"/>
        <v>654.15347501208487</v>
      </c>
    </row>
    <row r="38" spans="1:22" x14ac:dyDescent="0.2">
      <c r="A38" t="s">
        <v>30</v>
      </c>
      <c r="B38" t="s">
        <v>6</v>
      </c>
      <c r="C38" s="1">
        <v>32</v>
      </c>
      <c r="D38" s="7">
        <f t="shared" si="13"/>
        <v>2.4267492420207795</v>
      </c>
      <c r="E38" s="8">
        <f>'heat production'!$F$9</f>
        <v>0.37646551651411958</v>
      </c>
      <c r="F38" s="6">
        <f t="shared" si="0"/>
        <v>39.011724132112931</v>
      </c>
      <c r="G38" s="6">
        <f t="shared" si="7"/>
        <v>714.43540592125157</v>
      </c>
      <c r="H38" s="6">
        <f>'heat production'!$F$10</f>
        <v>0.16782925314477465</v>
      </c>
      <c r="I38" s="6">
        <f t="shared" si="1"/>
        <v>37.342634025158191</v>
      </c>
      <c r="J38" s="6">
        <f t="shared" si="8"/>
        <v>615.35403850441844</v>
      </c>
      <c r="K38" s="6">
        <f>'heat production'!$F$11</f>
        <v>8.6414207803799201E-2</v>
      </c>
      <c r="L38" s="6">
        <f t="shared" si="2"/>
        <v>36.691313662430389</v>
      </c>
      <c r="M38" s="6">
        <f t="shared" si="9"/>
        <v>571.98969304254933</v>
      </c>
      <c r="N38" s="6">
        <f>'heat production'!$G$9</f>
        <v>0.87808917983926915</v>
      </c>
      <c r="O38" s="6">
        <f t="shared" si="3"/>
        <v>43.024713438714173</v>
      </c>
      <c r="P38" s="6">
        <f t="shared" si="10"/>
        <v>985.92109328694767</v>
      </c>
      <c r="Q38" s="6">
        <f>'heat production'!$G$10</f>
        <v>0.44511566809016384</v>
      </c>
      <c r="R38" s="6">
        <f t="shared" si="4"/>
        <v>39.560925344721284</v>
      </c>
      <c r="S38" s="6">
        <f t="shared" si="11"/>
        <v>779.98162964021799</v>
      </c>
      <c r="T38" s="6">
        <f>'heat production'!$G$11</f>
        <v>0.2275114611349858</v>
      </c>
      <c r="U38" s="6">
        <f t="shared" si="5"/>
        <v>37.820091689079902</v>
      </c>
      <c r="V38" s="6">
        <f t="shared" si="12"/>
        <v>669.76151552130818</v>
      </c>
    </row>
    <row r="39" spans="1:22" x14ac:dyDescent="0.2">
      <c r="A39" t="s">
        <v>30</v>
      </c>
      <c r="B39" t="s">
        <v>6</v>
      </c>
      <c r="C39" s="1">
        <v>33</v>
      </c>
      <c r="D39" s="7">
        <f t="shared" si="13"/>
        <v>2.4231348035936486</v>
      </c>
      <c r="E39" s="8">
        <f>'heat production'!$F$9</f>
        <v>0.37646551651411958</v>
      </c>
      <c r="F39" s="6">
        <f t="shared" si="0"/>
        <v>38.635258615598815</v>
      </c>
      <c r="G39" s="6">
        <f t="shared" si="7"/>
        <v>730.43355303163344</v>
      </c>
      <c r="H39" s="6">
        <f>'heat production'!$F$10</f>
        <v>0.16782925314477465</v>
      </c>
      <c r="I39" s="6">
        <f t="shared" si="1"/>
        <v>37.174804772013417</v>
      </c>
      <c r="J39" s="6">
        <f t="shared" si="8"/>
        <v>630.70738394012574</v>
      </c>
      <c r="K39" s="6">
        <f>'heat production'!$F$11</f>
        <v>8.6414207803799201E-2</v>
      </c>
      <c r="L39" s="6">
        <f t="shared" si="2"/>
        <v>36.60489945462659</v>
      </c>
      <c r="M39" s="6">
        <f t="shared" si="9"/>
        <v>587.09142087002408</v>
      </c>
      <c r="N39" s="6">
        <f>'heat production'!$G$9</f>
        <v>0.87808917983926915</v>
      </c>
      <c r="O39" s="6">
        <f t="shared" si="3"/>
        <v>42.146624258874901</v>
      </c>
      <c r="P39" s="6">
        <f t="shared" si="10"/>
        <v>1003.469535503966</v>
      </c>
      <c r="Q39" s="6">
        <f>'heat production'!$G$10</f>
        <v>0.44511566809016384</v>
      </c>
      <c r="R39" s="6">
        <f t="shared" si="4"/>
        <v>39.115809676631123</v>
      </c>
      <c r="S39" s="6">
        <f t="shared" si="11"/>
        <v>796.19194376312203</v>
      </c>
      <c r="T39" s="6">
        <f>'heat production'!$G$11</f>
        <v>0.2275114611349858</v>
      </c>
      <c r="U39" s="6">
        <f t="shared" si="5"/>
        <v>37.592580227944914</v>
      </c>
      <c r="V39" s="6">
        <f t="shared" si="12"/>
        <v>685.2993120540533</v>
      </c>
    </row>
    <row r="40" spans="1:22" x14ac:dyDescent="0.2">
      <c r="A40" t="s">
        <v>30</v>
      </c>
      <c r="B40" t="s">
        <v>6</v>
      </c>
      <c r="C40" s="1">
        <v>34</v>
      </c>
      <c r="D40" s="7">
        <f t="shared" si="13"/>
        <v>2.4195607339007768</v>
      </c>
      <c r="E40" s="8">
        <f>'heat production'!$F$9</f>
        <v>0.37646551651411958</v>
      </c>
      <c r="F40" s="6">
        <f t="shared" si="0"/>
        <v>38.258793099084698</v>
      </c>
      <c r="G40" s="6">
        <f t="shared" si="7"/>
        <v>746.30020056619173</v>
      </c>
      <c r="H40" s="6">
        <f>'heat production'!$F$10</f>
        <v>0.16782925314477465</v>
      </c>
      <c r="I40" s="6">
        <f t="shared" si="1"/>
        <v>37.006975518868643</v>
      </c>
      <c r="J40" s="6">
        <f t="shared" si="8"/>
        <v>646.01436978772824</v>
      </c>
      <c r="K40" s="6">
        <f>'heat production'!$F$11</f>
        <v>8.6414207803799201E-2</v>
      </c>
      <c r="L40" s="6">
        <f t="shared" si="2"/>
        <v>36.518485246822792</v>
      </c>
      <c r="M40" s="6">
        <f t="shared" si="9"/>
        <v>602.18001284456113</v>
      </c>
      <c r="N40" s="6">
        <f>'heat production'!$G$9</f>
        <v>0.87808917983926915</v>
      </c>
      <c r="O40" s="6">
        <f t="shared" si="3"/>
        <v>41.26853507903563</v>
      </c>
      <c r="P40" s="6">
        <f t="shared" si="10"/>
        <v>1020.6817762786436</v>
      </c>
      <c r="Q40" s="6">
        <f>'heat production'!$G$10</f>
        <v>0.44511566809016384</v>
      </c>
      <c r="R40" s="6">
        <f t="shared" si="4"/>
        <v>38.670694008540963</v>
      </c>
      <c r="S40" s="6">
        <f t="shared" si="11"/>
        <v>812.24274365461179</v>
      </c>
      <c r="T40" s="6">
        <f>'heat production'!$G$11</f>
        <v>0.2275114611349858</v>
      </c>
      <c r="U40" s="6">
        <f t="shared" si="5"/>
        <v>37.365068766809927</v>
      </c>
      <c r="V40" s="6">
        <f t="shared" si="12"/>
        <v>700.76639396868484</v>
      </c>
    </row>
    <row r="41" spans="1:22" x14ac:dyDescent="0.2">
      <c r="A41" t="s">
        <v>30</v>
      </c>
      <c r="B41" t="s">
        <v>6</v>
      </c>
      <c r="C41" s="1">
        <v>35</v>
      </c>
      <c r="D41" s="7">
        <f t="shared" si="13"/>
        <v>2.4160268705166383</v>
      </c>
      <c r="E41" s="8">
        <f>'heat production'!$F$9</f>
        <v>0.37646551651411958</v>
      </c>
      <c r="F41" s="6">
        <f t="shared" si="0"/>
        <v>37.882327582570582</v>
      </c>
      <c r="G41" s="6">
        <f t="shared" si="7"/>
        <v>762.03469311577567</v>
      </c>
      <c r="H41" s="6">
        <f>'heat production'!$F$10</f>
        <v>0.16782925314477465</v>
      </c>
      <c r="I41" s="6">
        <f t="shared" si="1"/>
        <v>36.839146265723869</v>
      </c>
      <c r="J41" s="6">
        <f t="shared" si="8"/>
        <v>661.27460292631508</v>
      </c>
      <c r="K41" s="6">
        <f>'heat production'!$F$11</f>
        <v>8.6414207803799201E-2</v>
      </c>
      <c r="L41" s="6">
        <f t="shared" si="2"/>
        <v>36.432071039018993</v>
      </c>
      <c r="M41" s="6">
        <f t="shared" si="9"/>
        <v>617.25517819662741</v>
      </c>
      <c r="N41" s="6">
        <f>'heat production'!$G$9</f>
        <v>0.87808917983926915</v>
      </c>
      <c r="O41" s="6">
        <f t="shared" si="3"/>
        <v>40.390445899196358</v>
      </c>
      <c r="P41" s="6">
        <f t="shared" si="10"/>
        <v>1037.5565295828483</v>
      </c>
      <c r="Q41" s="6">
        <f>'heat production'!$G$10</f>
        <v>0.44511566809016384</v>
      </c>
      <c r="R41" s="6">
        <f t="shared" si="4"/>
        <v>38.225578340450802</v>
      </c>
      <c r="S41" s="6">
        <f t="shared" si="11"/>
        <v>828.13328760161596</v>
      </c>
      <c r="T41" s="6">
        <f>'heat production'!$G$11</f>
        <v>0.2275114611349858</v>
      </c>
      <c r="U41" s="6">
        <f t="shared" si="5"/>
        <v>37.137557305674939</v>
      </c>
      <c r="V41" s="6">
        <f t="shared" si="12"/>
        <v>716.16229311447171</v>
      </c>
    </row>
    <row r="42" spans="1:22" x14ac:dyDescent="0.2">
      <c r="A42" t="s">
        <v>30</v>
      </c>
      <c r="B42" t="s">
        <v>6</v>
      </c>
      <c r="C42" s="1">
        <v>36</v>
      </c>
      <c r="D42" s="7">
        <f t="shared" si="13"/>
        <v>2.4125330529951956</v>
      </c>
      <c r="E42" s="8">
        <f>'heat production'!$F$9</f>
        <v>0.37646551651411958</v>
      </c>
      <c r="F42" s="6">
        <f t="shared" si="0"/>
        <v>37.505862066056466</v>
      </c>
      <c r="G42" s="6">
        <f t="shared" si="7"/>
        <v>777.63638003586073</v>
      </c>
      <c r="H42" s="6">
        <f>'heat production'!$F$10</f>
        <v>0.16782925314477465</v>
      </c>
      <c r="I42" s="6">
        <f t="shared" si="1"/>
        <v>36.671317012579095</v>
      </c>
      <c r="J42" s="6">
        <f t="shared" si="8"/>
        <v>676.4876918566099</v>
      </c>
      <c r="K42" s="6">
        <f>'heat production'!$F$11</f>
        <v>8.6414207803799201E-2</v>
      </c>
      <c r="L42" s="6">
        <f t="shared" si="2"/>
        <v>36.345656831215194</v>
      </c>
      <c r="M42" s="6">
        <f t="shared" si="9"/>
        <v>632.31662655185028</v>
      </c>
      <c r="N42" s="6">
        <f>'heat production'!$G$9</f>
        <v>0.87808917983926915</v>
      </c>
      <c r="O42" s="6">
        <f t="shared" si="3"/>
        <v>39.512356719357086</v>
      </c>
      <c r="P42" s="6">
        <f t="shared" si="10"/>
        <v>1054.0925217097627</v>
      </c>
      <c r="Q42" s="6">
        <f>'heat production'!$G$10</f>
        <v>0.44511566809016384</v>
      </c>
      <c r="R42" s="6">
        <f t="shared" si="4"/>
        <v>37.780462672360642</v>
      </c>
      <c r="S42" s="6">
        <f t="shared" si="11"/>
        <v>843.86283968986697</v>
      </c>
      <c r="T42" s="6">
        <f>'heat production'!$G$11</f>
        <v>0.2275114611349858</v>
      </c>
      <c r="U42" s="6">
        <f t="shared" si="5"/>
        <v>36.910045844539951</v>
      </c>
      <c r="V42" s="6">
        <f t="shared" si="12"/>
        <v>731.48654386139754</v>
      </c>
    </row>
    <row r="43" spans="1:22" x14ac:dyDescent="0.2">
      <c r="A43" t="s">
        <v>30</v>
      </c>
      <c r="B43" t="s">
        <v>6</v>
      </c>
      <c r="C43" s="1">
        <v>37</v>
      </c>
      <c r="D43" s="7">
        <f t="shared" si="13"/>
        <v>2.409079122857773</v>
      </c>
      <c r="E43" s="8">
        <f>'heat production'!$F$9</f>
        <v>0.37646551651411958</v>
      </c>
      <c r="F43" s="6">
        <f t="shared" si="0"/>
        <v>37.129396549542349</v>
      </c>
      <c r="G43" s="6">
        <f t="shared" si="7"/>
        <v>793.10461549131662</v>
      </c>
      <c r="H43" s="6">
        <f>'heat production'!$F$10</f>
        <v>0.16782925314477465</v>
      </c>
      <c r="I43" s="6">
        <f t="shared" si="1"/>
        <v>36.503487759434321</v>
      </c>
      <c r="J43" s="6">
        <f t="shared" si="8"/>
        <v>691.65324672458689</v>
      </c>
      <c r="K43" s="6">
        <f>'heat production'!$F$11</f>
        <v>8.6414207803799201E-2</v>
      </c>
      <c r="L43" s="6">
        <f t="shared" si="2"/>
        <v>36.259242623411396</v>
      </c>
      <c r="M43" s="6">
        <f t="shared" si="9"/>
        <v>647.36406794638083</v>
      </c>
      <c r="N43" s="6">
        <f>'heat production'!$G$9</f>
        <v>0.87808917983926915</v>
      </c>
      <c r="O43" s="6">
        <f t="shared" si="3"/>
        <v>38.634267539517815</v>
      </c>
      <c r="P43" s="6">
        <f t="shared" si="10"/>
        <v>1070.2884913695057</v>
      </c>
      <c r="Q43" s="6">
        <f>'heat production'!$G$10</f>
        <v>0.44511566809016384</v>
      </c>
      <c r="R43" s="6">
        <f t="shared" si="4"/>
        <v>37.335347004270481</v>
      </c>
      <c r="S43" s="6">
        <f t="shared" si="11"/>
        <v>859.43066985562859</v>
      </c>
      <c r="T43" s="6">
        <f>'heat production'!$G$11</f>
        <v>0.2275114611349858</v>
      </c>
      <c r="U43" s="6">
        <f t="shared" si="5"/>
        <v>36.682534383404963</v>
      </c>
      <c r="V43" s="6">
        <f t="shared" si="12"/>
        <v>746.73868312982722</v>
      </c>
    </row>
    <row r="44" spans="1:22" x14ac:dyDescent="0.2">
      <c r="A44" t="s">
        <v>30</v>
      </c>
      <c r="B44" t="s">
        <v>6</v>
      </c>
      <c r="C44" s="1">
        <v>38</v>
      </c>
      <c r="D44" s="7">
        <f t="shared" si="13"/>
        <v>2.4056649235810954</v>
      </c>
      <c r="E44" s="8">
        <f>'heat production'!$F$9</f>
        <v>0.37646551651411958</v>
      </c>
      <c r="F44" s="6">
        <f t="shared" si="0"/>
        <v>36.752931033028233</v>
      </c>
      <c r="G44" s="6">
        <f t="shared" si="7"/>
        <v>808.43875850089285</v>
      </c>
      <c r="H44" s="6">
        <f>'heat production'!$F$10</f>
        <v>0.16782925314477465</v>
      </c>
      <c r="I44" s="6">
        <f t="shared" si="1"/>
        <v>36.335658506289548</v>
      </c>
      <c r="J44" s="6">
        <f t="shared" si="8"/>
        <v>706.77087934499639</v>
      </c>
      <c r="K44" s="6">
        <f>'heat production'!$F$11</f>
        <v>8.6414207803799201E-2</v>
      </c>
      <c r="L44" s="6">
        <f t="shared" si="2"/>
        <v>36.172828415607597</v>
      </c>
      <c r="M44" s="6">
        <f t="shared" si="9"/>
        <v>662.3972128422397</v>
      </c>
      <c r="N44" s="6">
        <f>'heat production'!$G$9</f>
        <v>0.87808917983926915</v>
      </c>
      <c r="O44" s="6">
        <f t="shared" si="3"/>
        <v>37.756178359678543</v>
      </c>
      <c r="P44" s="6">
        <f t="shared" si="10"/>
        <v>1086.1431897840141</v>
      </c>
      <c r="Q44" s="6">
        <f>'heat production'!$G$10</f>
        <v>0.44511566809016384</v>
      </c>
      <c r="R44" s="6">
        <f t="shared" si="4"/>
        <v>36.890231336180321</v>
      </c>
      <c r="S44" s="6">
        <f t="shared" si="11"/>
        <v>874.83605393707808</v>
      </c>
      <c r="T44" s="6">
        <f>'heat production'!$G$11</f>
        <v>0.2275114611349858</v>
      </c>
      <c r="U44" s="6">
        <f t="shared" si="5"/>
        <v>36.455022922269976</v>
      </c>
      <c r="V44" s="6">
        <f t="shared" si="12"/>
        <v>761.91825042002802</v>
      </c>
    </row>
    <row r="45" spans="1:22" x14ac:dyDescent="0.2">
      <c r="A45" t="s">
        <v>30</v>
      </c>
      <c r="B45" t="s">
        <v>6</v>
      </c>
      <c r="C45" s="1">
        <v>39</v>
      </c>
      <c r="D45" s="7">
        <f t="shared" si="13"/>
        <v>2.4022903005854794</v>
      </c>
      <c r="E45" s="8">
        <f>'heat production'!$F$9</f>
        <v>0.37646551651411958</v>
      </c>
      <c r="F45" s="6">
        <f>F46+E45*($C46-$C45)</f>
        <v>36.376465516514116</v>
      </c>
      <c r="G45" s="6">
        <f t="shared" si="7"/>
        <v>823.63817298141851</v>
      </c>
      <c r="H45" s="6">
        <f>'heat production'!$F$10</f>
        <v>0.16782925314477465</v>
      </c>
      <c r="I45" s="6">
        <f>I46+H45*($C46-$C45)</f>
        <v>36.167829253144774</v>
      </c>
      <c r="J45" s="6">
        <f t="shared" si="8"/>
        <v>721.84020322479614</v>
      </c>
      <c r="K45" s="6">
        <f>'heat production'!$F$11</f>
        <v>8.6414207803799201E-2</v>
      </c>
      <c r="L45" s="6">
        <f>L46+K45*($C46-$C45)</f>
        <v>36.086414207803799</v>
      </c>
      <c r="M45" s="6">
        <f t="shared" si="9"/>
        <v>677.41577214264407</v>
      </c>
      <c r="N45" s="6">
        <f>'heat production'!$G$9</f>
        <v>0.87808917983926915</v>
      </c>
      <c r="O45" s="6">
        <f>O46+N45*($C46-$C45)</f>
        <v>36.878089179839272</v>
      </c>
      <c r="P45" s="6">
        <f t="shared" si="10"/>
        <v>1101.6553807811745</v>
      </c>
      <c r="Q45" s="6">
        <f>'heat production'!$G$10</f>
        <v>0.44511566809016384</v>
      </c>
      <c r="R45" s="6">
        <f>R46+Q45*($C46-$C45)</f>
        <v>36.44511566809016</v>
      </c>
      <c r="S45" s="6">
        <f t="shared" si="11"/>
        <v>890.07827372533995</v>
      </c>
      <c r="T45" s="6">
        <f>'heat production'!$G$11</f>
        <v>0.2275114611349858</v>
      </c>
      <c r="U45" s="6">
        <f>U46+T45*($C46-$C45)</f>
        <v>36.227511461134988</v>
      </c>
      <c r="V45" s="6">
        <f t="shared" si="12"/>
        <v>777.02478784154243</v>
      </c>
    </row>
    <row r="46" spans="1:22" x14ac:dyDescent="0.2">
      <c r="A46" t="s">
        <v>31</v>
      </c>
      <c r="C46" s="1">
        <v>40</v>
      </c>
      <c r="F46" s="6">
        <f>$B$1</f>
        <v>36</v>
      </c>
      <c r="G46" s="6">
        <f t="shared" si="7"/>
        <v>838.7022277917124</v>
      </c>
      <c r="H46" s="6"/>
      <c r="I46" s="6">
        <f>$B$1</f>
        <v>36</v>
      </c>
      <c r="J46" s="6">
        <f t="shared" si="8"/>
        <v>736.86083358648818</v>
      </c>
      <c r="K46" s="6"/>
      <c r="L46" s="6">
        <f>$B$1</f>
        <v>36</v>
      </c>
      <c r="M46" s="6">
        <f t="shared" si="9"/>
        <v>692.41945720731655</v>
      </c>
      <c r="N46" s="6"/>
      <c r="O46" s="6">
        <f>$B$1</f>
        <v>36</v>
      </c>
      <c r="P46" s="6">
        <f t="shared" si="10"/>
        <v>1116.8238408881978</v>
      </c>
      <c r="Q46" s="6"/>
      <c r="R46" s="6">
        <f>$B$1</f>
        <v>36</v>
      </c>
      <c r="S46" s="6">
        <f t="shared" si="11"/>
        <v>905.15661701516501</v>
      </c>
      <c r="T46" s="6"/>
      <c r="U46" s="6">
        <f>$B$1</f>
        <v>36</v>
      </c>
      <c r="V46" s="6">
        <f t="shared" si="12"/>
        <v>792.05784014240965</v>
      </c>
    </row>
  </sheetData>
  <mergeCells count="6">
    <mergeCell ref="T2:V2"/>
    <mergeCell ref="E2:G2"/>
    <mergeCell ref="H2:J2"/>
    <mergeCell ref="K2:M2"/>
    <mergeCell ref="N2:P2"/>
    <mergeCell ref="Q2:S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="120" zoomScaleNormal="120" workbookViewId="0">
      <selection activeCell="L19" sqref="L19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heat production</vt:lpstr>
      <vt:lpstr>temperature</vt:lpstr>
      <vt:lpstr>geotherm plots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Derrick Hasterok</dc:creator>
  <cp:lastModifiedBy>Derrick Hasterok</cp:lastModifiedBy>
  <dcterms:created xsi:type="dcterms:W3CDTF">2018-02-13T03:29:47Z</dcterms:created>
  <dcterms:modified xsi:type="dcterms:W3CDTF">2025-07-16T22:33:23Z</dcterms:modified>
</cp:coreProperties>
</file>