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asterok/Library/CloudStorage/GoogleDrive-dhasterok@gmail.com/My Drive/classes/GeophysicsIIIA/problem_sets/steady_state/"/>
    </mc:Choice>
  </mc:AlternateContent>
  <xr:revisionPtr revIDLastSave="0" documentId="13_ncr:1_{60F174B8-9631-0B45-8DE3-70E1A8CA2A6C}" xr6:coauthVersionLast="47" xr6:coauthVersionMax="47" xr10:uidLastSave="{00000000-0000-0000-0000-000000000000}"/>
  <bookViews>
    <workbookView xWindow="2220" yWindow="2640" windowWidth="24900" windowHeight="15000" xr2:uid="{00000000-000D-0000-FFFF-FFFF00000000}"/>
  </bookViews>
  <sheets>
    <sheet name="heat production" sheetId="1" r:id="rId1"/>
    <sheet name="temperature" sheetId="2" r:id="rId2"/>
    <sheet name="geotherm plot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G1" i="1"/>
  <c r="T2" i="2"/>
  <c r="Q2" i="2"/>
  <c r="N2" i="2"/>
  <c r="K2" i="2"/>
  <c r="H2" i="2"/>
  <c r="E2" i="2"/>
  <c r="U46" i="2"/>
  <c r="R46" i="2"/>
  <c r="O46" i="2"/>
  <c r="L46" i="2"/>
  <c r="I46" i="2"/>
  <c r="F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<sst xmlns="http://schemas.openxmlformats.org/spreadsheetml/2006/main" count="178" uniqueCount="53">
  <si>
    <t>K2O</t>
  </si>
  <si>
    <t>wt. %</t>
  </si>
  <si>
    <t>Th</t>
  </si>
  <si>
    <t>ppm</t>
  </si>
  <si>
    <t>U</t>
  </si>
  <si>
    <t>heat production</t>
  </si>
  <si>
    <t>gabbro</t>
  </si>
  <si>
    <r>
      <rPr>
        <b/>
        <sz val="12"/>
        <color theme="1"/>
        <rFont val="Symbol"/>
        <charset val="2"/>
      </rPr>
      <t>m</t>
    </r>
    <r>
      <rPr>
        <b/>
        <sz val="12"/>
        <color theme="1"/>
        <rFont val="Calibri"/>
        <family val="2"/>
        <scheme val="minor"/>
      </rPr>
      <t>W m</t>
    </r>
    <r>
      <rPr>
        <b/>
        <vertAlign val="superscript"/>
        <sz val="12"/>
        <color theme="1"/>
        <rFont val="Calibri (Body)"/>
      </rPr>
      <t>-3</t>
    </r>
  </si>
  <si>
    <t>age</t>
  </si>
  <si>
    <t>present-day</t>
  </si>
  <si>
    <t>Ma</t>
  </si>
  <si>
    <t>&lt;200</t>
  </si>
  <si>
    <t>&gt;2800</t>
  </si>
  <si>
    <t>2000 to 2800</t>
  </si>
  <si>
    <t>radioelement concentrations</t>
  </si>
  <si>
    <t>K-40</t>
  </si>
  <si>
    <t>Th-232</t>
  </si>
  <si>
    <t>U-235</t>
  </si>
  <si>
    <t>U-238</t>
  </si>
  <si>
    <t>half-life</t>
  </si>
  <si>
    <r>
      <t>W kg</t>
    </r>
    <r>
      <rPr>
        <b/>
        <vertAlign val="superscript"/>
        <sz val="12"/>
        <color theme="1"/>
        <rFont val="Calibri (Body)"/>
      </rPr>
      <t>-1</t>
    </r>
  </si>
  <si>
    <r>
      <t>kg kg</t>
    </r>
    <r>
      <rPr>
        <b/>
        <vertAlign val="superscript"/>
        <sz val="12"/>
        <color theme="1"/>
        <rFont val="Calibri (Body)"/>
      </rPr>
      <t>-1</t>
    </r>
  </si>
  <si>
    <t>heat produced</t>
  </si>
  <si>
    <t>by decay</t>
  </si>
  <si>
    <t>abundance</t>
  </si>
  <si>
    <t>decay parameters</t>
  </si>
  <si>
    <t>depth</t>
  </si>
  <si>
    <t>rock type</t>
  </si>
  <si>
    <t>layer</t>
  </si>
  <si>
    <t>upper crust</t>
  </si>
  <si>
    <t>lower crust</t>
  </si>
  <si>
    <t>Moho</t>
  </si>
  <si>
    <t>heat</t>
  </si>
  <si>
    <t>production</t>
  </si>
  <si>
    <t>thermal</t>
  </si>
  <si>
    <t>conductivity</t>
  </si>
  <si>
    <t>temperature</t>
  </si>
  <si>
    <t>heat flow</t>
  </si>
  <si>
    <t>km</t>
  </si>
  <si>
    <r>
      <rPr>
        <b/>
        <sz val="12"/>
        <color theme="1"/>
        <rFont val="Calibri"/>
        <family val="2"/>
      </rPr>
      <t>m</t>
    </r>
    <r>
      <rPr>
        <b/>
        <sz val="12"/>
        <color theme="1"/>
        <rFont val="Calibri"/>
        <family val="2"/>
        <scheme val="minor"/>
      </rPr>
      <t>W m</t>
    </r>
    <r>
      <rPr>
        <b/>
        <vertAlign val="superscript"/>
        <sz val="12"/>
        <color theme="1"/>
        <rFont val="Calibri (Body)"/>
      </rPr>
      <t>-2</t>
    </r>
  </si>
  <si>
    <r>
      <t>W m</t>
    </r>
    <r>
      <rPr>
        <b/>
        <vertAlign val="superscript"/>
        <sz val="12"/>
        <color theme="1"/>
        <rFont val="Calibri (Body)"/>
      </rPr>
      <t>-1</t>
    </r>
    <r>
      <rPr>
        <b/>
        <sz val="12"/>
        <color theme="1"/>
        <rFont val="Calibri"/>
        <family val="2"/>
        <scheme val="minor"/>
      </rPr>
      <t xml:space="preserve"> K</t>
    </r>
    <r>
      <rPr>
        <b/>
        <vertAlign val="superscript"/>
        <sz val="12"/>
        <color theme="1"/>
        <rFont val="Calibri (Body)"/>
      </rPr>
      <t>-1</t>
    </r>
  </si>
  <si>
    <r>
      <rPr>
        <b/>
        <vertAlign val="superscript"/>
        <sz val="12"/>
        <color theme="1"/>
        <rFont val="Calibri (Body)"/>
      </rPr>
      <t>o</t>
    </r>
    <r>
      <rPr>
        <b/>
        <sz val="12"/>
        <color theme="1"/>
        <rFont val="Calibri"/>
        <family val="2"/>
        <scheme val="minor"/>
      </rPr>
      <t>C</t>
    </r>
  </si>
  <si>
    <t>density</t>
  </si>
  <si>
    <r>
      <rPr>
        <b/>
        <sz val="12"/>
        <color theme="1"/>
        <rFont val="Calibri"/>
        <family val="2"/>
      </rPr>
      <t>kg</t>
    </r>
    <r>
      <rPr>
        <b/>
        <sz val="12"/>
        <color theme="1"/>
        <rFont val="Calibri"/>
        <family val="2"/>
        <scheme val="minor"/>
      </rPr>
      <t xml:space="preserve"> m</t>
    </r>
    <r>
      <rPr>
        <b/>
        <vertAlign val="superscript"/>
        <sz val="12"/>
        <color theme="1"/>
        <rFont val="Calibri (Body)"/>
      </rPr>
      <t>-3</t>
    </r>
  </si>
  <si>
    <t>decay</t>
  </si>
  <si>
    <t>constant</t>
  </si>
  <si>
    <r>
      <t>Ma</t>
    </r>
    <r>
      <rPr>
        <b/>
        <vertAlign val="superscript"/>
        <sz val="12"/>
        <color theme="1"/>
        <rFont val="Calibri (Body)"/>
      </rPr>
      <t>-1</t>
    </r>
  </si>
  <si>
    <t>time in past</t>
  </si>
  <si>
    <t>basal heat flow</t>
  </si>
  <si>
    <t>granite and granodiorite</t>
  </si>
  <si>
    <t>gabbro/basalt</t>
  </si>
  <si>
    <t>granite/granodiorite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</si>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</sst>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000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"/>
      <scheme val="minor"/>
    </font>
    <font>
      <b/>
      <sz val="12"/>
      <color theme="1"/>
      <name val="Symbol"/>
      <charset val="2"/>
    </font>
    <font>
      <b/>
      <vertAlign val="superscript"/>
      <sz val="12"/>
      <color theme="1"/>
      <name val="Calibri (Body)"/>
    </font>
    <font>
      <b/>
      <sz val="12"/>
      <color theme="1"/>
      <name val="Calibri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" fontId="0" fillId="0" borderId="0" xfId="0" applyNumberFormat="1"/>
    <xf numFmtId="165" fontId="0" fillId="0" borderId="0" xfId="0" applyNumberFormat="1" applyAlignment="1">
      <alignment horizontal="center"/>
    </xf>
    <xf numFmtId="165" fontId="6" fillId="2" borderId="0" xfId="0" applyNumberFormat="1" applyFont="1" applyFill="1" applyAlignment="1">
      <alignment horizontal="center"/>
    </xf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66" fontId="0" fillId="4" borderId="0" xfId="0" applyNumberFormat="1" applyFill="1"/>
    <xf numFmtId="2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1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Geotherms</a:t>
            </a:r>
            <a:r>
              <a:rPr lang="en-US" baseline="0"/>
              <a:t> (present-day)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production'!$A$5</c:f>
              <c:strCache>
                <c:ptCount val="1"/>
                <c:pt idx="0">
                  <c:v>&lt;200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temperature!$G$6:$G$46</c:f>
              <c:numCache>
                <c:formatCode>0.00</c:formatCode>
                <c:ptCount val="41"/>
                <c:pt idx="0">
                  <c:v>15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9A-A74D-9ABE-A26B16F84573}"/>
            </c:ext>
          </c:extLst>
        </c:ser>
        <c:ser>
          <c:idx val="1"/>
          <c:order val="1"/>
          <c:tx>
            <c:strRef>
              <c:f>'heat production'!$A$6</c:f>
              <c:strCache>
                <c:ptCount val="1"/>
                <c:pt idx="0">
                  <c:v>2000 to 2800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temperature!$J$6:$J$46</c:f>
              <c:numCache>
                <c:formatCode>0.00</c:formatCode>
                <c:ptCount val="41"/>
                <c:pt idx="0">
                  <c:v>15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9A-A74D-9ABE-A26B16F84573}"/>
            </c:ext>
          </c:extLst>
        </c:ser>
        <c:ser>
          <c:idx val="2"/>
          <c:order val="2"/>
          <c:tx>
            <c:strRef>
              <c:f>'heat production'!$A$7</c:f>
              <c:strCache>
                <c:ptCount val="1"/>
                <c:pt idx="0">
                  <c:v>&gt;2800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temperature!$M$6:$M$46</c:f>
              <c:numCache>
                <c:formatCode>0.00</c:formatCode>
                <c:ptCount val="41"/>
                <c:pt idx="0">
                  <c:v>15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9A-A74D-9ABE-A26B16F84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79951"/>
        <c:axId val="2054165455"/>
      </c:scatterChart>
      <c:valAx>
        <c:axId val="2051979951"/>
        <c:scaling>
          <c:orientation val="minMax"/>
          <c:max val="1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5455"/>
        <c:crosses val="autoZero"/>
        <c:crossBetween val="midCat"/>
      </c:valAx>
      <c:valAx>
        <c:axId val="205416545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7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Geotherms</a:t>
            </a:r>
            <a:r>
              <a:rPr lang="en-US" baseline="0"/>
              <a:t> (at 3 Ga)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production'!$A$9</c:f>
              <c:strCache>
                <c:ptCount val="1"/>
                <c:pt idx="0">
                  <c:v>&lt;200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temperature!$P$6:$P$46</c:f>
              <c:numCache>
                <c:formatCode>0.00</c:formatCode>
                <c:ptCount val="41"/>
                <c:pt idx="0">
                  <c:v>15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A5-BF4A-9D24-28E8B56622A9}"/>
            </c:ext>
          </c:extLst>
        </c:ser>
        <c:ser>
          <c:idx val="1"/>
          <c:order val="1"/>
          <c:tx>
            <c:strRef>
              <c:f>'heat production'!$A$10</c:f>
              <c:strCache>
                <c:ptCount val="1"/>
                <c:pt idx="0">
                  <c:v>2000 to 2800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temperature!$S$6:$S$46</c:f>
              <c:numCache>
                <c:formatCode>0.00</c:formatCode>
                <c:ptCount val="41"/>
                <c:pt idx="0">
                  <c:v>15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A5-BF4A-9D24-28E8B56622A9}"/>
            </c:ext>
          </c:extLst>
        </c:ser>
        <c:ser>
          <c:idx val="2"/>
          <c:order val="2"/>
          <c:tx>
            <c:strRef>
              <c:f>'heat production'!$A$11</c:f>
              <c:strCache>
                <c:ptCount val="1"/>
                <c:pt idx="0">
                  <c:v>&gt;2800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temperature!$V$6:$V$46</c:f>
              <c:numCache>
                <c:formatCode>0.00</c:formatCode>
                <c:ptCount val="41"/>
                <c:pt idx="0">
                  <c:v>15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A5-BF4A-9D24-28E8B5662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79951"/>
        <c:axId val="2054165455"/>
      </c:scatterChart>
      <c:valAx>
        <c:axId val="2051979951"/>
        <c:scaling>
          <c:orientation val="minMax"/>
          <c:max val="1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5455"/>
        <c:crosses val="autoZero"/>
        <c:crossBetween val="midCat"/>
      </c:valAx>
      <c:valAx>
        <c:axId val="205416545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79951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444500</xdr:colOff>
      <xdr:row>26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2DF8E-53FF-6847-92B5-CC97F8BB4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463550</xdr:colOff>
      <xdr:row>0</xdr:row>
      <xdr:rowOff>0</xdr:rowOff>
    </xdr:from>
    <xdr:to>
      <xdr:col>11</xdr:col>
      <xdr:colOff>82550</xdr:colOff>
      <xdr:row>26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D06BB1-4637-3448-AC0B-A8F058529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3" sqref="E3"/>
    </sheetView>
  </sheetViews>
  <sheetFormatPr baseColWidth="10" defaultRowHeight="16" x14ac:dyDescent="0.2"/>
  <cols>
    <col min="1" max="1" width="14.5" customWidth="1"/>
    <col min="4" max="4" width="12.6640625" customWidth="1"/>
    <col min="5" max="5" width="14.1640625" customWidth="1"/>
    <col min="6" max="6" width="15.1640625" customWidth="1"/>
    <col min="7" max="7" width="14" bestFit="1" customWidth="1"/>
  </cols>
  <sheetData>
    <row r="1" spans="1:8" x14ac:dyDescent="0.2">
      <c r="B1" s="17" t="s">
        <v>14</v>
      </c>
      <c r="C1" s="17"/>
      <c r="D1" s="17"/>
      <c r="F1" s="3" t="s">
        <v>9</v>
      </c>
      <c r="G1" s="3" t="str">
        <f>CONCATENATE("at ",B22/1000," Ga")</f>
        <v>at 3 Ga</v>
      </c>
    </row>
    <row r="2" spans="1:8" x14ac:dyDescent="0.2">
      <c r="A2" s="3" t="s">
        <v>8</v>
      </c>
      <c r="B2" s="3" t="s">
        <v>0</v>
      </c>
      <c r="C2" s="3" t="s">
        <v>52</v>
      </c>
      <c r="D2" s="3" t="s">
        <v>2</v>
      </c>
      <c r="E2" s="3" t="s">
        <v>4</v>
      </c>
      <c r="F2" s="3" t="s">
        <v>5</v>
      </c>
      <c r="G2" s="3" t="s">
        <v>5</v>
      </c>
      <c r="H2" s="3" t="s">
        <v>42</v>
      </c>
    </row>
    <row r="3" spans="1:8" ht="19" x14ac:dyDescent="0.2">
      <c r="A3" s="3" t="s">
        <v>10</v>
      </c>
      <c r="B3" s="3" t="s">
        <v>1</v>
      </c>
      <c r="C3" s="3" t="s">
        <v>3</v>
      </c>
      <c r="D3" s="3" t="s">
        <v>3</v>
      </c>
      <c r="E3" s="3" t="s">
        <v>3</v>
      </c>
      <c r="F3" s="4" t="s">
        <v>7</v>
      </c>
      <c r="G3" s="4" t="s">
        <v>7</v>
      </c>
      <c r="H3" s="4" t="s">
        <v>43</v>
      </c>
    </row>
    <row r="4" spans="1:8" x14ac:dyDescent="0.2">
      <c r="A4" s="17" t="s">
        <v>49</v>
      </c>
      <c r="B4" s="17"/>
      <c r="C4" s="17"/>
      <c r="D4" s="17"/>
      <c r="E4" s="17"/>
      <c r="F4" s="17"/>
      <c r="G4" s="17"/>
      <c r="H4" s="19">
        <v>2675</v>
      </c>
    </row>
    <row r="5" spans="1:8" x14ac:dyDescent="0.2">
      <c r="A5" s="1" t="s">
        <v>11</v>
      </c>
      <c r="B5" s="5">
        <v>3.8517000000000001</v>
      </c>
      <c r="C5" s="16"/>
      <c r="D5" s="5">
        <v>13.5</v>
      </c>
      <c r="E5" s="5">
        <v>3.36</v>
      </c>
      <c r="F5" s="11"/>
      <c r="G5" s="12"/>
    </row>
    <row r="6" spans="1:8" x14ac:dyDescent="0.2">
      <c r="A6" s="1" t="s">
        <v>13</v>
      </c>
      <c r="B6" s="5">
        <v>3.2894999999999999</v>
      </c>
      <c r="C6" s="16"/>
      <c r="D6" s="5">
        <v>9.2349999999999994</v>
      </c>
      <c r="E6" s="5">
        <v>1.5</v>
      </c>
      <c r="F6" s="11"/>
      <c r="G6" s="12"/>
    </row>
    <row r="7" spans="1:8" x14ac:dyDescent="0.2">
      <c r="A7" s="1" t="s">
        <v>12</v>
      </c>
      <c r="B7" s="5">
        <v>2.1082999999999998</v>
      </c>
      <c r="C7" s="16"/>
      <c r="D7" s="5">
        <v>6.2</v>
      </c>
      <c r="E7" s="5">
        <v>1.079</v>
      </c>
      <c r="F7" s="11"/>
      <c r="G7" s="12"/>
      <c r="H7" s="8"/>
    </row>
    <row r="8" spans="1:8" x14ac:dyDescent="0.2">
      <c r="A8" s="17" t="s">
        <v>50</v>
      </c>
      <c r="B8" s="17"/>
      <c r="C8" s="17"/>
      <c r="D8" s="17"/>
      <c r="E8" s="17"/>
      <c r="F8" s="17"/>
      <c r="G8" s="17"/>
      <c r="H8" s="19">
        <v>2963</v>
      </c>
    </row>
    <row r="9" spans="1:8" x14ac:dyDescent="0.2">
      <c r="A9" s="1" t="s">
        <v>11</v>
      </c>
      <c r="B9" s="5">
        <v>0.68630000000000002</v>
      </c>
      <c r="C9" s="16"/>
      <c r="D9" s="5">
        <v>2</v>
      </c>
      <c r="E9" s="5">
        <v>0.58899999999999997</v>
      </c>
      <c r="F9" s="11"/>
      <c r="G9" s="12"/>
    </row>
    <row r="10" spans="1:8" x14ac:dyDescent="0.2">
      <c r="A10" s="1" t="s">
        <v>13</v>
      </c>
      <c r="B10" s="5">
        <v>0.47949999999999998</v>
      </c>
      <c r="C10" s="16"/>
      <c r="D10" s="5">
        <v>0.78</v>
      </c>
      <c r="E10" s="5">
        <v>0.24</v>
      </c>
      <c r="F10" s="11"/>
      <c r="G10" s="12"/>
    </row>
    <row r="11" spans="1:8" x14ac:dyDescent="0.2">
      <c r="A11" s="1" t="s">
        <v>12</v>
      </c>
      <c r="B11" s="5">
        <v>0.23599999999999999</v>
      </c>
      <c r="C11" s="16"/>
      <c r="D11" s="5">
        <v>0.39</v>
      </c>
      <c r="E11" s="5">
        <v>0.13</v>
      </c>
      <c r="F11" s="11"/>
      <c r="G11" s="12"/>
    </row>
    <row r="13" spans="1:8" x14ac:dyDescent="0.2">
      <c r="A13" s="17" t="s">
        <v>25</v>
      </c>
      <c r="B13" s="17"/>
      <c r="C13" s="17"/>
      <c r="D13" s="17"/>
      <c r="E13" s="17"/>
    </row>
    <row r="14" spans="1:8" x14ac:dyDescent="0.2">
      <c r="A14" s="1"/>
      <c r="C14" s="3" t="s">
        <v>44</v>
      </c>
      <c r="D14" s="2" t="s">
        <v>22</v>
      </c>
      <c r="E14" s="3" t="s">
        <v>9</v>
      </c>
      <c r="F14" s="3" t="str">
        <f>CONCATENATE("at ",B22/1000," Ga")</f>
        <v>at 3 Ga</v>
      </c>
    </row>
    <row r="15" spans="1:8" x14ac:dyDescent="0.2">
      <c r="B15" s="3" t="s">
        <v>19</v>
      </c>
      <c r="C15" s="3" t="s">
        <v>45</v>
      </c>
      <c r="D15" s="3" t="s">
        <v>23</v>
      </c>
      <c r="E15" s="3" t="s">
        <v>24</v>
      </c>
      <c r="F15" s="3" t="s">
        <v>24</v>
      </c>
    </row>
    <row r="16" spans="1:8" ht="19" x14ac:dyDescent="0.2">
      <c r="B16" s="3" t="s">
        <v>10</v>
      </c>
      <c r="C16" s="3" t="s">
        <v>46</v>
      </c>
      <c r="D16" s="3" t="s">
        <v>20</v>
      </c>
      <c r="E16" s="3" t="s">
        <v>21</v>
      </c>
      <c r="F16" s="3" t="s">
        <v>21</v>
      </c>
    </row>
    <row r="17" spans="1:6" x14ac:dyDescent="0.2">
      <c r="A17" s="1" t="s">
        <v>15</v>
      </c>
      <c r="B17" s="9">
        <v>1248</v>
      </c>
      <c r="C17" s="10"/>
      <c r="D17" s="7">
        <v>2.97E-5</v>
      </c>
      <c r="E17" s="1">
        <v>1.17E-4</v>
      </c>
      <c r="F17" s="15"/>
    </row>
    <row r="18" spans="1:6" x14ac:dyDescent="0.2">
      <c r="A18" s="1" t="s">
        <v>16</v>
      </c>
      <c r="B18" s="7">
        <v>14000</v>
      </c>
      <c r="C18" s="10"/>
      <c r="D18" s="7">
        <v>2.5599999999999999E-5</v>
      </c>
      <c r="E18" s="1">
        <v>1</v>
      </c>
      <c r="F18" s="15"/>
    </row>
    <row r="19" spans="1:6" x14ac:dyDescent="0.2">
      <c r="A19" s="1" t="s">
        <v>17</v>
      </c>
      <c r="B19" s="7">
        <v>704</v>
      </c>
      <c r="C19" s="10"/>
      <c r="D19" s="7">
        <v>5.7499999999999999E-4</v>
      </c>
      <c r="E19" s="1">
        <v>7.2040000000000003E-3</v>
      </c>
      <c r="F19" s="15"/>
    </row>
    <row r="20" spans="1:6" x14ac:dyDescent="0.2">
      <c r="A20" s="1" t="s">
        <v>18</v>
      </c>
      <c r="B20" s="7">
        <v>4468</v>
      </c>
      <c r="C20" s="10"/>
      <c r="D20" s="7">
        <v>9.1700000000000006E-5</v>
      </c>
      <c r="E20" s="1">
        <v>0.99274200000000001</v>
      </c>
      <c r="F20" s="15"/>
    </row>
    <row r="22" spans="1:6" x14ac:dyDescent="0.2">
      <c r="A22" s="3" t="s">
        <v>47</v>
      </c>
      <c r="B22" s="18">
        <v>3000</v>
      </c>
      <c r="C22" t="s">
        <v>10</v>
      </c>
    </row>
  </sheetData>
  <mergeCells count="4">
    <mergeCell ref="B1:D1"/>
    <mergeCell ref="A13:E13"/>
    <mergeCell ref="A4:G4"/>
    <mergeCell ref="A8:G8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"/>
  <sheetViews>
    <sheetView workbookViewId="0">
      <selection activeCell="D6" sqref="D6:D45"/>
    </sheetView>
  </sheetViews>
  <sheetFormatPr baseColWidth="10" defaultRowHeight="16" x14ac:dyDescent="0.2"/>
  <cols>
    <col min="1" max="1" width="14.1640625" customWidth="1"/>
    <col min="2" max="2" width="18.33203125" customWidth="1"/>
    <col min="7" max="7" width="11.6640625" customWidth="1"/>
  </cols>
  <sheetData>
    <row r="1" spans="1:22" ht="19" x14ac:dyDescent="0.2">
      <c r="A1" s="2" t="s">
        <v>48</v>
      </c>
      <c r="B1">
        <v>36</v>
      </c>
      <c r="C1" s="4" t="s">
        <v>39</v>
      </c>
    </row>
    <row r="2" spans="1:22" x14ac:dyDescent="0.2">
      <c r="E2" s="17" t="str">
        <f>CONCATENATE('heat production'!F1,", ",'heat production'!A5)</f>
        <v>present-day, &lt;200</v>
      </c>
      <c r="F2" s="17"/>
      <c r="G2" s="17"/>
      <c r="H2" s="17" t="str">
        <f>CONCATENATE('heat production'!F1,", ",'heat production'!A6)</f>
        <v>present-day, 2000 to 2800</v>
      </c>
      <c r="I2" s="17"/>
      <c r="J2" s="17"/>
      <c r="K2" s="17" t="str">
        <f>CONCATENATE('heat production'!F1,", ",'heat production'!A7)</f>
        <v>present-day, &gt;2800</v>
      </c>
      <c r="L2" s="17"/>
      <c r="M2" s="17"/>
      <c r="N2" s="17" t="str">
        <f>CONCATENATE('heat production'!G1,", ",'heat production'!A5)</f>
        <v>at 3 Ga, &lt;200</v>
      </c>
      <c r="O2" s="17"/>
      <c r="P2" s="17"/>
      <c r="Q2" s="17" t="str">
        <f>CONCATENATE('heat production'!G1,", ",'heat production'!A6)</f>
        <v>at 3 Ga, 2000 to 2800</v>
      </c>
      <c r="R2" s="17"/>
      <c r="S2" s="17"/>
      <c r="T2" s="17" t="str">
        <f>CONCATENATE('heat production'!G1,", ",'heat production'!A7)</f>
        <v>at 3 Ga, &gt;2800</v>
      </c>
      <c r="U2" s="17"/>
      <c r="V2" s="17"/>
    </row>
    <row r="3" spans="1:22" x14ac:dyDescent="0.2">
      <c r="A3" s="2"/>
      <c r="B3" s="2"/>
      <c r="C3" s="2"/>
      <c r="D3" s="3" t="s">
        <v>34</v>
      </c>
      <c r="E3" s="3" t="s">
        <v>32</v>
      </c>
      <c r="F3" s="3"/>
      <c r="G3" s="3"/>
      <c r="H3" s="3" t="s">
        <v>32</v>
      </c>
      <c r="I3" s="3"/>
      <c r="J3" s="3"/>
      <c r="K3" s="3" t="s">
        <v>32</v>
      </c>
      <c r="L3" s="3"/>
      <c r="M3" s="3"/>
      <c r="N3" s="3" t="s">
        <v>32</v>
      </c>
      <c r="O3" s="3"/>
      <c r="P3" s="3"/>
      <c r="Q3" s="3" t="s">
        <v>32</v>
      </c>
      <c r="R3" s="3"/>
      <c r="S3" s="3"/>
      <c r="T3" s="3" t="s">
        <v>32</v>
      </c>
      <c r="U3" s="3"/>
      <c r="V3" s="3"/>
    </row>
    <row r="4" spans="1:22" x14ac:dyDescent="0.2">
      <c r="A4" s="3" t="s">
        <v>28</v>
      </c>
      <c r="B4" s="3" t="s">
        <v>27</v>
      </c>
      <c r="C4" s="3" t="s">
        <v>26</v>
      </c>
      <c r="D4" s="3" t="s">
        <v>35</v>
      </c>
      <c r="E4" s="3" t="s">
        <v>33</v>
      </c>
      <c r="F4" s="3" t="s">
        <v>37</v>
      </c>
      <c r="G4" s="3" t="s">
        <v>36</v>
      </c>
      <c r="H4" s="3" t="s">
        <v>33</v>
      </c>
      <c r="I4" s="3" t="s">
        <v>37</v>
      </c>
      <c r="J4" s="3" t="s">
        <v>36</v>
      </c>
      <c r="K4" s="3" t="s">
        <v>33</v>
      </c>
      <c r="L4" s="3" t="s">
        <v>37</v>
      </c>
      <c r="M4" s="3" t="s">
        <v>36</v>
      </c>
      <c r="N4" s="3" t="s">
        <v>33</v>
      </c>
      <c r="O4" s="3" t="s">
        <v>37</v>
      </c>
      <c r="P4" s="3" t="s">
        <v>36</v>
      </c>
      <c r="Q4" s="3" t="s">
        <v>33</v>
      </c>
      <c r="R4" s="3" t="s">
        <v>37</v>
      </c>
      <c r="S4" s="3" t="s">
        <v>36</v>
      </c>
      <c r="T4" s="3" t="s">
        <v>33</v>
      </c>
      <c r="U4" s="3" t="s">
        <v>37</v>
      </c>
      <c r="V4" s="3" t="s">
        <v>36</v>
      </c>
    </row>
    <row r="5" spans="1:22" ht="19" x14ac:dyDescent="0.2">
      <c r="A5" s="3"/>
      <c r="B5" s="3"/>
      <c r="C5" s="3" t="s">
        <v>38</v>
      </c>
      <c r="D5" s="3" t="s">
        <v>40</v>
      </c>
      <c r="E5" s="4" t="s">
        <v>7</v>
      </c>
      <c r="F5" s="4" t="s">
        <v>39</v>
      </c>
      <c r="G5" s="3" t="s">
        <v>41</v>
      </c>
      <c r="H5" s="4" t="s">
        <v>7</v>
      </c>
      <c r="I5" s="4" t="s">
        <v>39</v>
      </c>
      <c r="J5" s="3" t="s">
        <v>41</v>
      </c>
      <c r="K5" s="4" t="s">
        <v>7</v>
      </c>
      <c r="L5" s="4" t="s">
        <v>39</v>
      </c>
      <c r="M5" s="3" t="s">
        <v>41</v>
      </c>
      <c r="N5" s="4" t="s">
        <v>7</v>
      </c>
      <c r="O5" s="4" t="s">
        <v>39</v>
      </c>
      <c r="P5" s="3" t="s">
        <v>41</v>
      </c>
      <c r="Q5" s="4" t="s">
        <v>7</v>
      </c>
      <c r="R5" s="4" t="s">
        <v>39</v>
      </c>
      <c r="S5" s="3" t="s">
        <v>41</v>
      </c>
      <c r="T5" s="4" t="s">
        <v>7</v>
      </c>
      <c r="U5" s="4" t="s">
        <v>39</v>
      </c>
      <c r="V5" s="3" t="s">
        <v>41</v>
      </c>
    </row>
    <row r="6" spans="1:22" x14ac:dyDescent="0.2">
      <c r="A6" t="s">
        <v>29</v>
      </c>
      <c r="B6" t="s">
        <v>51</v>
      </c>
      <c r="C6" s="1">
        <v>0</v>
      </c>
      <c r="D6" s="6">
        <f>3*(1 + 0.0000015*C6)/(1 + 0.0015*G6)</f>
        <v>2.9339853300733498</v>
      </c>
      <c r="E6" s="7">
        <f>'heat production'!$F$5</f>
        <v>0</v>
      </c>
      <c r="F6" s="13"/>
      <c r="G6" s="5">
        <v>15</v>
      </c>
      <c r="H6" s="5">
        <f>'heat production'!$F$6</f>
        <v>0</v>
      </c>
      <c r="I6" s="13"/>
      <c r="J6" s="5">
        <v>15</v>
      </c>
      <c r="K6" s="5">
        <f>'heat production'!$F$7</f>
        <v>0</v>
      </c>
      <c r="L6" s="13"/>
      <c r="M6" s="5">
        <v>15</v>
      </c>
      <c r="N6" s="5">
        <f>'heat production'!$G$5</f>
        <v>0</v>
      </c>
      <c r="O6" s="13"/>
      <c r="P6" s="5">
        <v>15</v>
      </c>
      <c r="Q6" s="5">
        <f>'heat production'!$G$6</f>
        <v>0</v>
      </c>
      <c r="R6" s="13"/>
      <c r="S6" s="5">
        <v>15</v>
      </c>
      <c r="T6" s="5">
        <f>'heat production'!$G$7</f>
        <v>0</v>
      </c>
      <c r="U6" s="13"/>
      <c r="V6" s="5">
        <v>15</v>
      </c>
    </row>
    <row r="7" spans="1:22" x14ac:dyDescent="0.2">
      <c r="A7" t="s">
        <v>29</v>
      </c>
      <c r="B7" t="s">
        <v>51</v>
      </c>
      <c r="C7" s="1">
        <v>1</v>
      </c>
      <c r="D7" s="6">
        <f t="shared" ref="D7:D21" si="0">3*(1 + 0.0000015*C7)/(1 + 0.0015*G7)</f>
        <v>3.0000045000000002</v>
      </c>
      <c r="E7" s="7">
        <f>'heat production'!$F$5</f>
        <v>0</v>
      </c>
      <c r="F7" s="13"/>
      <c r="G7" s="14"/>
      <c r="H7" s="5">
        <f>'heat production'!$F$6</f>
        <v>0</v>
      </c>
      <c r="I7" s="13"/>
      <c r="J7" s="14"/>
      <c r="K7" s="5">
        <f>'heat production'!$F$7</f>
        <v>0</v>
      </c>
      <c r="L7" s="13"/>
      <c r="M7" s="14"/>
      <c r="N7" s="5">
        <f>'heat production'!$G$5</f>
        <v>0</v>
      </c>
      <c r="O7" s="13"/>
      <c r="P7" s="14"/>
      <c r="Q7" s="5">
        <f>'heat production'!$G$6</f>
        <v>0</v>
      </c>
      <c r="R7" s="13"/>
      <c r="S7" s="14"/>
      <c r="T7" s="5">
        <f>'heat production'!$G$7</f>
        <v>0</v>
      </c>
      <c r="U7" s="13"/>
      <c r="V7" s="14"/>
    </row>
    <row r="8" spans="1:22" x14ac:dyDescent="0.2">
      <c r="A8" t="s">
        <v>29</v>
      </c>
      <c r="B8" t="s">
        <v>51</v>
      </c>
      <c r="C8" s="1">
        <v>2</v>
      </c>
      <c r="D8" s="6">
        <f t="shared" si="0"/>
        <v>3.0000089999999999</v>
      </c>
      <c r="E8" s="7">
        <f>'heat production'!$F$5</f>
        <v>0</v>
      </c>
      <c r="F8" s="13"/>
      <c r="G8" s="14"/>
      <c r="H8" s="5">
        <f>'heat production'!$F$6</f>
        <v>0</v>
      </c>
      <c r="I8" s="13"/>
      <c r="J8" s="14"/>
      <c r="K8" s="5">
        <f>'heat production'!$F$7</f>
        <v>0</v>
      </c>
      <c r="L8" s="13"/>
      <c r="M8" s="14"/>
      <c r="N8" s="5">
        <f>'heat production'!$G$5</f>
        <v>0</v>
      </c>
      <c r="O8" s="13"/>
      <c r="P8" s="14"/>
      <c r="Q8" s="5">
        <f>'heat production'!$G$6</f>
        <v>0</v>
      </c>
      <c r="R8" s="13"/>
      <c r="S8" s="14"/>
      <c r="T8" s="5">
        <f>'heat production'!$G$7</f>
        <v>0</v>
      </c>
      <c r="U8" s="13"/>
      <c r="V8" s="14"/>
    </row>
    <row r="9" spans="1:22" x14ac:dyDescent="0.2">
      <c r="A9" t="s">
        <v>29</v>
      </c>
      <c r="B9" t="s">
        <v>51</v>
      </c>
      <c r="C9" s="1">
        <v>3</v>
      </c>
      <c r="D9" s="6">
        <f t="shared" si="0"/>
        <v>3.0000134999999997</v>
      </c>
      <c r="E9" s="7">
        <f>'heat production'!$F$5</f>
        <v>0</v>
      </c>
      <c r="F9" s="13"/>
      <c r="G9" s="14"/>
      <c r="H9" s="5">
        <f>'heat production'!$F$6</f>
        <v>0</v>
      </c>
      <c r="I9" s="13"/>
      <c r="J9" s="14"/>
      <c r="K9" s="5">
        <f>'heat production'!$F$7</f>
        <v>0</v>
      </c>
      <c r="L9" s="13"/>
      <c r="M9" s="14"/>
      <c r="N9" s="5">
        <f>'heat production'!$G$5</f>
        <v>0</v>
      </c>
      <c r="O9" s="13"/>
      <c r="P9" s="14"/>
      <c r="Q9" s="5">
        <f>'heat production'!$G$6</f>
        <v>0</v>
      </c>
      <c r="R9" s="13"/>
      <c r="S9" s="14"/>
      <c r="T9" s="5">
        <f>'heat production'!$G$7</f>
        <v>0</v>
      </c>
      <c r="U9" s="13"/>
      <c r="V9" s="14"/>
    </row>
    <row r="10" spans="1:22" x14ac:dyDescent="0.2">
      <c r="A10" t="s">
        <v>29</v>
      </c>
      <c r="B10" t="s">
        <v>51</v>
      </c>
      <c r="C10" s="1">
        <v>4</v>
      </c>
      <c r="D10" s="6">
        <f t="shared" si="0"/>
        <v>3.0000179999999999</v>
      </c>
      <c r="E10" s="7">
        <f>'heat production'!$F$5</f>
        <v>0</v>
      </c>
      <c r="F10" s="13"/>
      <c r="G10" s="14"/>
      <c r="H10" s="5">
        <f>'heat production'!$F$6</f>
        <v>0</v>
      </c>
      <c r="I10" s="13"/>
      <c r="J10" s="14"/>
      <c r="K10" s="5">
        <f>'heat production'!$F$7</f>
        <v>0</v>
      </c>
      <c r="L10" s="13"/>
      <c r="M10" s="14"/>
      <c r="N10" s="5">
        <f>'heat production'!$G$5</f>
        <v>0</v>
      </c>
      <c r="O10" s="13"/>
      <c r="P10" s="14"/>
      <c r="Q10" s="5">
        <f>'heat production'!$G$6</f>
        <v>0</v>
      </c>
      <c r="R10" s="13"/>
      <c r="S10" s="14"/>
      <c r="T10" s="5">
        <f>'heat production'!$G$7</f>
        <v>0</v>
      </c>
      <c r="U10" s="13"/>
      <c r="V10" s="14"/>
    </row>
    <row r="11" spans="1:22" x14ac:dyDescent="0.2">
      <c r="A11" t="s">
        <v>29</v>
      </c>
      <c r="B11" t="s">
        <v>51</v>
      </c>
      <c r="C11" s="1">
        <v>5</v>
      </c>
      <c r="D11" s="6">
        <f t="shared" si="0"/>
        <v>3.0000225</v>
      </c>
      <c r="E11" s="7">
        <f>'heat production'!$F$5</f>
        <v>0</v>
      </c>
      <c r="F11" s="13"/>
      <c r="G11" s="14"/>
      <c r="H11" s="5">
        <f>'heat production'!$F$6</f>
        <v>0</v>
      </c>
      <c r="I11" s="13"/>
      <c r="J11" s="14"/>
      <c r="K11" s="5">
        <f>'heat production'!$F$7</f>
        <v>0</v>
      </c>
      <c r="L11" s="13"/>
      <c r="M11" s="14"/>
      <c r="N11" s="5">
        <f>'heat production'!$G$5</f>
        <v>0</v>
      </c>
      <c r="O11" s="13"/>
      <c r="P11" s="14"/>
      <c r="Q11" s="5">
        <f>'heat production'!$G$6</f>
        <v>0</v>
      </c>
      <c r="R11" s="13"/>
      <c r="S11" s="14"/>
      <c r="T11" s="5">
        <f>'heat production'!$G$7</f>
        <v>0</v>
      </c>
      <c r="U11" s="13"/>
      <c r="V11" s="14"/>
    </row>
    <row r="12" spans="1:22" x14ac:dyDescent="0.2">
      <c r="A12" t="s">
        <v>29</v>
      </c>
      <c r="B12" t="s">
        <v>51</v>
      </c>
      <c r="C12" s="1">
        <v>6</v>
      </c>
      <c r="D12" s="6">
        <f t="shared" si="0"/>
        <v>3.0000269999999998</v>
      </c>
      <c r="E12" s="7">
        <f>'heat production'!$F$5</f>
        <v>0</v>
      </c>
      <c r="F12" s="13"/>
      <c r="G12" s="14"/>
      <c r="H12" s="5">
        <f>'heat production'!$F$6</f>
        <v>0</v>
      </c>
      <c r="I12" s="13"/>
      <c r="J12" s="14"/>
      <c r="K12" s="5">
        <f>'heat production'!$F$7</f>
        <v>0</v>
      </c>
      <c r="L12" s="13"/>
      <c r="M12" s="14"/>
      <c r="N12" s="5">
        <f>'heat production'!$G$5</f>
        <v>0</v>
      </c>
      <c r="O12" s="13"/>
      <c r="P12" s="14"/>
      <c r="Q12" s="5">
        <f>'heat production'!$G$6</f>
        <v>0</v>
      </c>
      <c r="R12" s="13"/>
      <c r="S12" s="14"/>
      <c r="T12" s="5">
        <f>'heat production'!$G$7</f>
        <v>0</v>
      </c>
      <c r="U12" s="13"/>
      <c r="V12" s="14"/>
    </row>
    <row r="13" spans="1:22" x14ac:dyDescent="0.2">
      <c r="A13" t="s">
        <v>29</v>
      </c>
      <c r="B13" t="s">
        <v>51</v>
      </c>
      <c r="C13" s="1">
        <v>7</v>
      </c>
      <c r="D13" s="6">
        <f t="shared" si="0"/>
        <v>3.0000314999999995</v>
      </c>
      <c r="E13" s="7">
        <f>'heat production'!$F$5</f>
        <v>0</v>
      </c>
      <c r="F13" s="13"/>
      <c r="G13" s="14"/>
      <c r="H13" s="5">
        <f>'heat production'!$F$6</f>
        <v>0</v>
      </c>
      <c r="I13" s="13"/>
      <c r="J13" s="14"/>
      <c r="K13" s="5">
        <f>'heat production'!$F$7</f>
        <v>0</v>
      </c>
      <c r="L13" s="13"/>
      <c r="M13" s="14"/>
      <c r="N13" s="5">
        <f>'heat production'!$G$5</f>
        <v>0</v>
      </c>
      <c r="O13" s="13"/>
      <c r="P13" s="14"/>
      <c r="Q13" s="5">
        <f>'heat production'!$G$6</f>
        <v>0</v>
      </c>
      <c r="R13" s="13"/>
      <c r="S13" s="14"/>
      <c r="T13" s="5">
        <f>'heat production'!$G$7</f>
        <v>0</v>
      </c>
      <c r="U13" s="13"/>
      <c r="V13" s="14"/>
    </row>
    <row r="14" spans="1:22" x14ac:dyDescent="0.2">
      <c r="A14" t="s">
        <v>29</v>
      </c>
      <c r="B14" t="s">
        <v>51</v>
      </c>
      <c r="C14" s="1">
        <v>8</v>
      </c>
      <c r="D14" s="6">
        <f t="shared" si="0"/>
        <v>3.0000359999999997</v>
      </c>
      <c r="E14" s="7">
        <f>'heat production'!$F$5</f>
        <v>0</v>
      </c>
      <c r="F14" s="13"/>
      <c r="G14" s="14"/>
      <c r="H14" s="5">
        <f>'heat production'!$F$6</f>
        <v>0</v>
      </c>
      <c r="I14" s="13"/>
      <c r="J14" s="14"/>
      <c r="K14" s="5">
        <f>'heat production'!$F$7</f>
        <v>0</v>
      </c>
      <c r="L14" s="13"/>
      <c r="M14" s="14"/>
      <c r="N14" s="5">
        <f>'heat production'!$G$5</f>
        <v>0</v>
      </c>
      <c r="O14" s="13"/>
      <c r="P14" s="14"/>
      <c r="Q14" s="5">
        <f>'heat production'!$G$6</f>
        <v>0</v>
      </c>
      <c r="R14" s="13"/>
      <c r="S14" s="14"/>
      <c r="T14" s="5">
        <f>'heat production'!$G$7</f>
        <v>0</v>
      </c>
      <c r="U14" s="13"/>
      <c r="V14" s="14"/>
    </row>
    <row r="15" spans="1:22" x14ac:dyDescent="0.2">
      <c r="A15" t="s">
        <v>29</v>
      </c>
      <c r="B15" t="s">
        <v>51</v>
      </c>
      <c r="C15" s="1">
        <v>9</v>
      </c>
      <c r="D15" s="6">
        <f t="shared" si="0"/>
        <v>3.0000405000000003</v>
      </c>
      <c r="E15" s="7">
        <f>'heat production'!$F$5</f>
        <v>0</v>
      </c>
      <c r="F15" s="13"/>
      <c r="G15" s="14"/>
      <c r="H15" s="5">
        <f>'heat production'!$F$6</f>
        <v>0</v>
      </c>
      <c r="I15" s="13"/>
      <c r="J15" s="14"/>
      <c r="K15" s="5">
        <f>'heat production'!$F$7</f>
        <v>0</v>
      </c>
      <c r="L15" s="13"/>
      <c r="M15" s="14"/>
      <c r="N15" s="5">
        <f>'heat production'!$G$5</f>
        <v>0</v>
      </c>
      <c r="O15" s="13"/>
      <c r="P15" s="14"/>
      <c r="Q15" s="5">
        <f>'heat production'!$G$6</f>
        <v>0</v>
      </c>
      <c r="R15" s="13"/>
      <c r="S15" s="14"/>
      <c r="T15" s="5">
        <f>'heat production'!$G$7</f>
        <v>0</v>
      </c>
      <c r="U15" s="13"/>
      <c r="V15" s="14"/>
    </row>
    <row r="16" spans="1:22" x14ac:dyDescent="0.2">
      <c r="A16" t="s">
        <v>29</v>
      </c>
      <c r="B16" t="s">
        <v>51</v>
      </c>
      <c r="C16" s="1">
        <v>10</v>
      </c>
      <c r="D16" s="6">
        <f t="shared" si="0"/>
        <v>3.0000450000000001</v>
      </c>
      <c r="E16" s="7">
        <f>'heat production'!$F$5</f>
        <v>0</v>
      </c>
      <c r="F16" s="13"/>
      <c r="G16" s="14"/>
      <c r="H16" s="5">
        <f>'heat production'!$F$6</f>
        <v>0</v>
      </c>
      <c r="I16" s="13"/>
      <c r="J16" s="14"/>
      <c r="K16" s="5">
        <f>'heat production'!$F$7</f>
        <v>0</v>
      </c>
      <c r="L16" s="13"/>
      <c r="M16" s="14"/>
      <c r="N16" s="5">
        <f>'heat production'!$G$5</f>
        <v>0</v>
      </c>
      <c r="O16" s="13"/>
      <c r="P16" s="14"/>
      <c r="Q16" s="5">
        <f>'heat production'!$G$6</f>
        <v>0</v>
      </c>
      <c r="R16" s="13"/>
      <c r="S16" s="14"/>
      <c r="T16" s="5">
        <f>'heat production'!$G$7</f>
        <v>0</v>
      </c>
      <c r="U16" s="13"/>
      <c r="V16" s="14"/>
    </row>
    <row r="17" spans="1:22" x14ac:dyDescent="0.2">
      <c r="A17" t="s">
        <v>29</v>
      </c>
      <c r="B17" t="s">
        <v>51</v>
      </c>
      <c r="C17" s="1">
        <v>11</v>
      </c>
      <c r="D17" s="6">
        <f t="shared" si="0"/>
        <v>3.0000495000000003</v>
      </c>
      <c r="E17" s="7">
        <f>'heat production'!$F$5</f>
        <v>0</v>
      </c>
      <c r="F17" s="13"/>
      <c r="G17" s="14"/>
      <c r="H17" s="5">
        <f>'heat production'!$F$6</f>
        <v>0</v>
      </c>
      <c r="I17" s="13"/>
      <c r="J17" s="14"/>
      <c r="K17" s="5">
        <f>'heat production'!$F$7</f>
        <v>0</v>
      </c>
      <c r="L17" s="13"/>
      <c r="M17" s="14"/>
      <c r="N17" s="5">
        <f>'heat production'!$G$5</f>
        <v>0</v>
      </c>
      <c r="O17" s="13"/>
      <c r="P17" s="14"/>
      <c r="Q17" s="5">
        <f>'heat production'!$G$6</f>
        <v>0</v>
      </c>
      <c r="R17" s="13"/>
      <c r="S17" s="14"/>
      <c r="T17" s="5">
        <f>'heat production'!$G$7</f>
        <v>0</v>
      </c>
      <c r="U17" s="13"/>
      <c r="V17" s="14"/>
    </row>
    <row r="18" spans="1:22" x14ac:dyDescent="0.2">
      <c r="A18" t="s">
        <v>29</v>
      </c>
      <c r="B18" t="s">
        <v>51</v>
      </c>
      <c r="C18" s="1">
        <v>12</v>
      </c>
      <c r="D18" s="6">
        <f t="shared" si="0"/>
        <v>3.0000540000000004</v>
      </c>
      <c r="E18" s="7">
        <f>'heat production'!$F$5</f>
        <v>0</v>
      </c>
      <c r="F18" s="13"/>
      <c r="G18" s="14"/>
      <c r="H18" s="5">
        <f>'heat production'!$F$6</f>
        <v>0</v>
      </c>
      <c r="I18" s="13"/>
      <c r="J18" s="14"/>
      <c r="K18" s="5">
        <f>'heat production'!$F$7</f>
        <v>0</v>
      </c>
      <c r="L18" s="13"/>
      <c r="M18" s="14"/>
      <c r="N18" s="5">
        <f>'heat production'!$G$5</f>
        <v>0</v>
      </c>
      <c r="O18" s="13"/>
      <c r="P18" s="14"/>
      <c r="Q18" s="5">
        <f>'heat production'!$G$6</f>
        <v>0</v>
      </c>
      <c r="R18" s="13"/>
      <c r="S18" s="14"/>
      <c r="T18" s="5">
        <f>'heat production'!$G$7</f>
        <v>0</v>
      </c>
      <c r="U18" s="13"/>
      <c r="V18" s="14"/>
    </row>
    <row r="19" spans="1:22" x14ac:dyDescent="0.2">
      <c r="A19" t="s">
        <v>29</v>
      </c>
      <c r="B19" t="s">
        <v>51</v>
      </c>
      <c r="C19" s="1">
        <v>13</v>
      </c>
      <c r="D19" s="6">
        <f t="shared" si="0"/>
        <v>3.0000585000000002</v>
      </c>
      <c r="E19" s="7">
        <f>'heat production'!$F$5</f>
        <v>0</v>
      </c>
      <c r="F19" s="13"/>
      <c r="G19" s="14"/>
      <c r="H19" s="5">
        <f>'heat production'!$F$6</f>
        <v>0</v>
      </c>
      <c r="I19" s="13"/>
      <c r="J19" s="14"/>
      <c r="K19" s="5">
        <f>'heat production'!$F$7</f>
        <v>0</v>
      </c>
      <c r="L19" s="13"/>
      <c r="M19" s="14"/>
      <c r="N19" s="5">
        <f>'heat production'!$G$5</f>
        <v>0</v>
      </c>
      <c r="O19" s="13"/>
      <c r="P19" s="14"/>
      <c r="Q19" s="5">
        <f>'heat production'!$G$6</f>
        <v>0</v>
      </c>
      <c r="R19" s="13"/>
      <c r="S19" s="14"/>
      <c r="T19" s="5">
        <f>'heat production'!$G$7</f>
        <v>0</v>
      </c>
      <c r="U19" s="13"/>
      <c r="V19" s="14"/>
    </row>
    <row r="20" spans="1:22" x14ac:dyDescent="0.2">
      <c r="A20" t="s">
        <v>29</v>
      </c>
      <c r="B20" t="s">
        <v>51</v>
      </c>
      <c r="C20" s="1">
        <v>14</v>
      </c>
      <c r="D20" s="6">
        <f t="shared" si="0"/>
        <v>3.0000629999999999</v>
      </c>
      <c r="E20" s="7">
        <f>'heat production'!$F$5</f>
        <v>0</v>
      </c>
      <c r="F20" s="13"/>
      <c r="G20" s="14"/>
      <c r="H20" s="5">
        <f>'heat production'!$F$6</f>
        <v>0</v>
      </c>
      <c r="I20" s="13"/>
      <c r="J20" s="14"/>
      <c r="K20" s="5">
        <f>'heat production'!$F$7</f>
        <v>0</v>
      </c>
      <c r="L20" s="13"/>
      <c r="M20" s="14"/>
      <c r="N20" s="5">
        <f>'heat production'!$G$5</f>
        <v>0</v>
      </c>
      <c r="O20" s="13"/>
      <c r="P20" s="14"/>
      <c r="Q20" s="5">
        <f>'heat production'!$G$6</f>
        <v>0</v>
      </c>
      <c r="R20" s="13"/>
      <c r="S20" s="14"/>
      <c r="T20" s="5">
        <f>'heat production'!$G$7</f>
        <v>0</v>
      </c>
      <c r="U20" s="13"/>
      <c r="V20" s="14"/>
    </row>
    <row r="21" spans="1:22" x14ac:dyDescent="0.2">
      <c r="A21" t="s">
        <v>29</v>
      </c>
      <c r="B21" t="s">
        <v>51</v>
      </c>
      <c r="C21" s="1">
        <v>15</v>
      </c>
      <c r="D21" s="6">
        <f t="shared" si="0"/>
        <v>3.0000675000000001</v>
      </c>
      <c r="E21" s="7">
        <f>'heat production'!$F$5</f>
        <v>0</v>
      </c>
      <c r="F21" s="13"/>
      <c r="G21" s="14"/>
      <c r="H21" s="5">
        <f>'heat production'!$F$6</f>
        <v>0</v>
      </c>
      <c r="I21" s="13"/>
      <c r="J21" s="14"/>
      <c r="K21" s="5">
        <f>'heat production'!$F$7</f>
        <v>0</v>
      </c>
      <c r="L21" s="13"/>
      <c r="M21" s="14"/>
      <c r="N21" s="5">
        <f>'heat production'!$G$5</f>
        <v>0</v>
      </c>
      <c r="O21" s="13"/>
      <c r="P21" s="14"/>
      <c r="Q21" s="5">
        <f>'heat production'!$G$6</f>
        <v>0</v>
      </c>
      <c r="R21" s="13"/>
      <c r="S21" s="14"/>
      <c r="T21" s="5">
        <f>'heat production'!$G$7</f>
        <v>0</v>
      </c>
      <c r="U21" s="13"/>
      <c r="V21" s="14"/>
    </row>
    <row r="22" spans="1:22" x14ac:dyDescent="0.2">
      <c r="A22" t="s">
        <v>30</v>
      </c>
      <c r="B22" t="s">
        <v>6</v>
      </c>
      <c r="C22" s="1">
        <v>16</v>
      </c>
      <c r="D22" s="6">
        <f>2.6*(1 + 0.0000015*C22)/(1 + 0.0001*G22)</f>
        <v>2.6000624000000001</v>
      </c>
      <c r="E22" s="7">
        <f>'heat production'!$F$9</f>
        <v>0</v>
      </c>
      <c r="F22" s="13"/>
      <c r="G22" s="14"/>
      <c r="H22" s="5">
        <f>'heat production'!$F$10</f>
        <v>0</v>
      </c>
      <c r="I22" s="13"/>
      <c r="J22" s="14"/>
      <c r="K22" s="5">
        <f>'heat production'!$F$11</f>
        <v>0</v>
      </c>
      <c r="L22" s="13"/>
      <c r="M22" s="14"/>
      <c r="N22" s="5">
        <f>'heat production'!$G$9</f>
        <v>0</v>
      </c>
      <c r="O22" s="13"/>
      <c r="P22" s="14"/>
      <c r="Q22" s="5">
        <f>'heat production'!$G$10</f>
        <v>0</v>
      </c>
      <c r="R22" s="13"/>
      <c r="S22" s="14"/>
      <c r="T22" s="5">
        <f>'heat production'!$G$11</f>
        <v>0</v>
      </c>
      <c r="U22" s="13"/>
      <c r="V22" s="14"/>
    </row>
    <row r="23" spans="1:22" x14ac:dyDescent="0.2">
      <c r="A23" t="s">
        <v>30</v>
      </c>
      <c r="B23" t="s">
        <v>6</v>
      </c>
      <c r="C23" s="1">
        <v>17</v>
      </c>
      <c r="D23" s="6">
        <f t="shared" ref="D23:D45" si="1">2.6*(1 + 0.0000015*C23)/(1 + 0.0001*G23)</f>
        <v>2.6000662999999999</v>
      </c>
      <c r="E23" s="7">
        <f>'heat production'!$F$9</f>
        <v>0</v>
      </c>
      <c r="F23" s="13"/>
      <c r="G23" s="14"/>
      <c r="H23" s="5">
        <f>'heat production'!$F$10</f>
        <v>0</v>
      </c>
      <c r="I23" s="13"/>
      <c r="J23" s="14"/>
      <c r="K23" s="5">
        <f>'heat production'!$F$11</f>
        <v>0</v>
      </c>
      <c r="L23" s="13"/>
      <c r="M23" s="14"/>
      <c r="N23" s="5">
        <f>'heat production'!$G$9</f>
        <v>0</v>
      </c>
      <c r="O23" s="13"/>
      <c r="P23" s="14"/>
      <c r="Q23" s="5">
        <f>'heat production'!$G$10</f>
        <v>0</v>
      </c>
      <c r="R23" s="13"/>
      <c r="S23" s="14"/>
      <c r="T23" s="5">
        <f>'heat production'!$G$11</f>
        <v>0</v>
      </c>
      <c r="U23" s="13"/>
      <c r="V23" s="14"/>
    </row>
    <row r="24" spans="1:22" x14ac:dyDescent="0.2">
      <c r="A24" t="s">
        <v>30</v>
      </c>
      <c r="B24" t="s">
        <v>6</v>
      </c>
      <c r="C24" s="1">
        <v>18</v>
      </c>
      <c r="D24" s="6">
        <f t="shared" si="1"/>
        <v>2.6000702000000002</v>
      </c>
      <c r="E24" s="7">
        <f>'heat production'!$F$9</f>
        <v>0</v>
      </c>
      <c r="F24" s="13"/>
      <c r="G24" s="14"/>
      <c r="H24" s="5">
        <f>'heat production'!$F$10</f>
        <v>0</v>
      </c>
      <c r="I24" s="13"/>
      <c r="J24" s="14"/>
      <c r="K24" s="5">
        <f>'heat production'!$F$11</f>
        <v>0</v>
      </c>
      <c r="L24" s="13"/>
      <c r="M24" s="14"/>
      <c r="N24" s="5">
        <f>'heat production'!$G$9</f>
        <v>0</v>
      </c>
      <c r="O24" s="13"/>
      <c r="P24" s="14"/>
      <c r="Q24" s="5">
        <f>'heat production'!$G$10</f>
        <v>0</v>
      </c>
      <c r="R24" s="13"/>
      <c r="S24" s="14"/>
      <c r="T24" s="5">
        <f>'heat production'!$G$11</f>
        <v>0</v>
      </c>
      <c r="U24" s="13"/>
      <c r="V24" s="14"/>
    </row>
    <row r="25" spans="1:22" x14ac:dyDescent="0.2">
      <c r="A25" t="s">
        <v>30</v>
      </c>
      <c r="B25" t="s">
        <v>6</v>
      </c>
      <c r="C25" s="1">
        <v>19</v>
      </c>
      <c r="D25" s="6">
        <f t="shared" si="1"/>
        <v>2.6000741000000001</v>
      </c>
      <c r="E25" s="7">
        <f>'heat production'!$F$9</f>
        <v>0</v>
      </c>
      <c r="F25" s="13"/>
      <c r="G25" s="14"/>
      <c r="H25" s="5">
        <f>'heat production'!$F$10</f>
        <v>0</v>
      </c>
      <c r="I25" s="13"/>
      <c r="J25" s="14"/>
      <c r="K25" s="5">
        <f>'heat production'!$F$11</f>
        <v>0</v>
      </c>
      <c r="L25" s="13"/>
      <c r="M25" s="14"/>
      <c r="N25" s="5">
        <f>'heat production'!$G$9</f>
        <v>0</v>
      </c>
      <c r="O25" s="13"/>
      <c r="P25" s="14"/>
      <c r="Q25" s="5">
        <f>'heat production'!$G$10</f>
        <v>0</v>
      </c>
      <c r="R25" s="13"/>
      <c r="S25" s="14"/>
      <c r="T25" s="5">
        <f>'heat production'!$G$11</f>
        <v>0</v>
      </c>
      <c r="U25" s="13"/>
      <c r="V25" s="14"/>
    </row>
    <row r="26" spans="1:22" x14ac:dyDescent="0.2">
      <c r="A26" t="s">
        <v>30</v>
      </c>
      <c r="B26" t="s">
        <v>6</v>
      </c>
      <c r="C26" s="1">
        <v>20</v>
      </c>
      <c r="D26" s="6">
        <f t="shared" si="1"/>
        <v>2.6000779999999999</v>
      </c>
      <c r="E26" s="7">
        <f>'heat production'!$F$9</f>
        <v>0</v>
      </c>
      <c r="F26" s="13"/>
      <c r="G26" s="14"/>
      <c r="H26" s="5">
        <f>'heat production'!$F$10</f>
        <v>0</v>
      </c>
      <c r="I26" s="13"/>
      <c r="J26" s="14"/>
      <c r="K26" s="5">
        <f>'heat production'!$F$11</f>
        <v>0</v>
      </c>
      <c r="L26" s="13"/>
      <c r="M26" s="14"/>
      <c r="N26" s="5">
        <f>'heat production'!$G$9</f>
        <v>0</v>
      </c>
      <c r="O26" s="13"/>
      <c r="P26" s="14"/>
      <c r="Q26" s="5">
        <f>'heat production'!$G$10</f>
        <v>0</v>
      </c>
      <c r="R26" s="13"/>
      <c r="S26" s="14"/>
      <c r="T26" s="5">
        <f>'heat production'!$G$11</f>
        <v>0</v>
      </c>
      <c r="U26" s="13"/>
      <c r="V26" s="14"/>
    </row>
    <row r="27" spans="1:22" x14ac:dyDescent="0.2">
      <c r="A27" t="s">
        <v>30</v>
      </c>
      <c r="B27" t="s">
        <v>6</v>
      </c>
      <c r="C27" s="1">
        <v>21</v>
      </c>
      <c r="D27" s="6">
        <f t="shared" si="1"/>
        <v>2.6000819000000002</v>
      </c>
      <c r="E27" s="7">
        <f>'heat production'!$F$9</f>
        <v>0</v>
      </c>
      <c r="F27" s="13"/>
      <c r="G27" s="14"/>
      <c r="H27" s="5">
        <f>'heat production'!$F$10</f>
        <v>0</v>
      </c>
      <c r="I27" s="13"/>
      <c r="J27" s="14"/>
      <c r="K27" s="5">
        <f>'heat production'!$F$11</f>
        <v>0</v>
      </c>
      <c r="L27" s="13"/>
      <c r="M27" s="14"/>
      <c r="N27" s="5">
        <f>'heat production'!$G$9</f>
        <v>0</v>
      </c>
      <c r="O27" s="13"/>
      <c r="P27" s="14"/>
      <c r="Q27" s="5">
        <f>'heat production'!$G$10</f>
        <v>0</v>
      </c>
      <c r="R27" s="13"/>
      <c r="S27" s="14"/>
      <c r="T27" s="5">
        <f>'heat production'!$G$11</f>
        <v>0</v>
      </c>
      <c r="U27" s="13"/>
      <c r="V27" s="14"/>
    </row>
    <row r="28" spans="1:22" x14ac:dyDescent="0.2">
      <c r="A28" t="s">
        <v>30</v>
      </c>
      <c r="B28" t="s">
        <v>6</v>
      </c>
      <c r="C28" s="1">
        <v>22</v>
      </c>
      <c r="D28" s="6">
        <f t="shared" si="1"/>
        <v>2.6000858</v>
      </c>
      <c r="E28" s="7">
        <f>'heat production'!$F$9</f>
        <v>0</v>
      </c>
      <c r="F28" s="13"/>
      <c r="G28" s="14"/>
      <c r="H28" s="5">
        <f>'heat production'!$F$10</f>
        <v>0</v>
      </c>
      <c r="I28" s="13"/>
      <c r="J28" s="14"/>
      <c r="K28" s="5">
        <f>'heat production'!$F$11</f>
        <v>0</v>
      </c>
      <c r="L28" s="13"/>
      <c r="M28" s="14"/>
      <c r="N28" s="5">
        <f>'heat production'!$G$9</f>
        <v>0</v>
      </c>
      <c r="O28" s="13"/>
      <c r="P28" s="14"/>
      <c r="Q28" s="5">
        <f>'heat production'!$G$10</f>
        <v>0</v>
      </c>
      <c r="R28" s="13"/>
      <c r="S28" s="14"/>
      <c r="T28" s="5">
        <f>'heat production'!$G$11</f>
        <v>0</v>
      </c>
      <c r="U28" s="13"/>
      <c r="V28" s="14"/>
    </row>
    <row r="29" spans="1:22" x14ac:dyDescent="0.2">
      <c r="A29" t="s">
        <v>30</v>
      </c>
      <c r="B29" t="s">
        <v>6</v>
      </c>
      <c r="C29" s="1">
        <v>23</v>
      </c>
      <c r="D29" s="6">
        <f t="shared" si="1"/>
        <v>2.6000896999999998</v>
      </c>
      <c r="E29" s="7">
        <f>'heat production'!$F$9</f>
        <v>0</v>
      </c>
      <c r="F29" s="13"/>
      <c r="G29" s="14"/>
      <c r="H29" s="5">
        <f>'heat production'!$F$10</f>
        <v>0</v>
      </c>
      <c r="I29" s="13"/>
      <c r="J29" s="14"/>
      <c r="K29" s="5">
        <f>'heat production'!$F$11</f>
        <v>0</v>
      </c>
      <c r="L29" s="13"/>
      <c r="M29" s="14"/>
      <c r="N29" s="5">
        <f>'heat production'!$G$9</f>
        <v>0</v>
      </c>
      <c r="O29" s="13"/>
      <c r="P29" s="14"/>
      <c r="Q29" s="5">
        <f>'heat production'!$G$10</f>
        <v>0</v>
      </c>
      <c r="R29" s="13"/>
      <c r="S29" s="14"/>
      <c r="T29" s="5">
        <f>'heat production'!$G$11</f>
        <v>0</v>
      </c>
      <c r="U29" s="13"/>
      <c r="V29" s="14"/>
    </row>
    <row r="30" spans="1:22" x14ac:dyDescent="0.2">
      <c r="A30" t="s">
        <v>30</v>
      </c>
      <c r="B30" t="s">
        <v>6</v>
      </c>
      <c r="C30" s="1">
        <v>24</v>
      </c>
      <c r="D30" s="6">
        <f t="shared" si="1"/>
        <v>2.6000936000000001</v>
      </c>
      <c r="E30" s="7">
        <f>'heat production'!$F$9</f>
        <v>0</v>
      </c>
      <c r="F30" s="13"/>
      <c r="G30" s="14"/>
      <c r="H30" s="5">
        <f>'heat production'!$F$10</f>
        <v>0</v>
      </c>
      <c r="I30" s="13"/>
      <c r="J30" s="14"/>
      <c r="K30" s="5">
        <f>'heat production'!$F$11</f>
        <v>0</v>
      </c>
      <c r="L30" s="13"/>
      <c r="M30" s="14"/>
      <c r="N30" s="5">
        <f>'heat production'!$G$9</f>
        <v>0</v>
      </c>
      <c r="O30" s="13"/>
      <c r="P30" s="14"/>
      <c r="Q30" s="5">
        <f>'heat production'!$G$10</f>
        <v>0</v>
      </c>
      <c r="R30" s="13"/>
      <c r="S30" s="14"/>
      <c r="T30" s="5">
        <f>'heat production'!$G$11</f>
        <v>0</v>
      </c>
      <c r="U30" s="13"/>
      <c r="V30" s="14"/>
    </row>
    <row r="31" spans="1:22" x14ac:dyDescent="0.2">
      <c r="A31" t="s">
        <v>30</v>
      </c>
      <c r="B31" t="s">
        <v>6</v>
      </c>
      <c r="C31" s="1">
        <v>25</v>
      </c>
      <c r="D31" s="6">
        <f t="shared" si="1"/>
        <v>2.6000975</v>
      </c>
      <c r="E31" s="7">
        <f>'heat production'!$F$9</f>
        <v>0</v>
      </c>
      <c r="F31" s="13"/>
      <c r="G31" s="14"/>
      <c r="H31" s="5">
        <f>'heat production'!$F$10</f>
        <v>0</v>
      </c>
      <c r="I31" s="13"/>
      <c r="J31" s="14"/>
      <c r="K31" s="5">
        <f>'heat production'!$F$11</f>
        <v>0</v>
      </c>
      <c r="L31" s="13"/>
      <c r="M31" s="14"/>
      <c r="N31" s="5">
        <f>'heat production'!$G$9</f>
        <v>0</v>
      </c>
      <c r="O31" s="13"/>
      <c r="P31" s="14"/>
      <c r="Q31" s="5">
        <f>'heat production'!$G$10</f>
        <v>0</v>
      </c>
      <c r="R31" s="13"/>
      <c r="S31" s="14"/>
      <c r="T31" s="5">
        <f>'heat production'!$G$11</f>
        <v>0</v>
      </c>
      <c r="U31" s="13"/>
      <c r="V31" s="14"/>
    </row>
    <row r="32" spans="1:22" x14ac:dyDescent="0.2">
      <c r="A32" t="s">
        <v>30</v>
      </c>
      <c r="B32" t="s">
        <v>6</v>
      </c>
      <c r="C32" s="1">
        <v>26</v>
      </c>
      <c r="D32" s="6">
        <f t="shared" si="1"/>
        <v>2.6001013999999998</v>
      </c>
      <c r="E32" s="7">
        <f>'heat production'!$F$9</f>
        <v>0</v>
      </c>
      <c r="F32" s="13"/>
      <c r="G32" s="14"/>
      <c r="H32" s="5">
        <f>'heat production'!$F$10</f>
        <v>0</v>
      </c>
      <c r="I32" s="13"/>
      <c r="J32" s="14"/>
      <c r="K32" s="5">
        <f>'heat production'!$F$11</f>
        <v>0</v>
      </c>
      <c r="L32" s="13"/>
      <c r="M32" s="14"/>
      <c r="N32" s="5">
        <f>'heat production'!$G$9</f>
        <v>0</v>
      </c>
      <c r="O32" s="13"/>
      <c r="P32" s="14"/>
      <c r="Q32" s="5">
        <f>'heat production'!$G$10</f>
        <v>0</v>
      </c>
      <c r="R32" s="13"/>
      <c r="S32" s="14"/>
      <c r="T32" s="5">
        <f>'heat production'!$G$11</f>
        <v>0</v>
      </c>
      <c r="U32" s="13"/>
      <c r="V32" s="14"/>
    </row>
    <row r="33" spans="1:22" x14ac:dyDescent="0.2">
      <c r="A33" t="s">
        <v>30</v>
      </c>
      <c r="B33" t="s">
        <v>6</v>
      </c>
      <c r="C33" s="1">
        <v>27</v>
      </c>
      <c r="D33" s="6">
        <f t="shared" si="1"/>
        <v>2.6001053000000005</v>
      </c>
      <c r="E33" s="7">
        <f>'heat production'!$F$9</f>
        <v>0</v>
      </c>
      <c r="F33" s="13"/>
      <c r="G33" s="14"/>
      <c r="H33" s="5">
        <f>'heat production'!$F$10</f>
        <v>0</v>
      </c>
      <c r="I33" s="13"/>
      <c r="J33" s="14"/>
      <c r="K33" s="5">
        <f>'heat production'!$F$11</f>
        <v>0</v>
      </c>
      <c r="L33" s="13"/>
      <c r="M33" s="14"/>
      <c r="N33" s="5">
        <f>'heat production'!$G$9</f>
        <v>0</v>
      </c>
      <c r="O33" s="13"/>
      <c r="P33" s="14"/>
      <c r="Q33" s="5">
        <f>'heat production'!$G$10</f>
        <v>0</v>
      </c>
      <c r="R33" s="13"/>
      <c r="S33" s="14"/>
      <c r="T33" s="5">
        <f>'heat production'!$G$11</f>
        <v>0</v>
      </c>
      <c r="U33" s="13"/>
      <c r="V33" s="14"/>
    </row>
    <row r="34" spans="1:22" x14ac:dyDescent="0.2">
      <c r="A34" t="s">
        <v>30</v>
      </c>
      <c r="B34" t="s">
        <v>6</v>
      </c>
      <c r="C34" s="1">
        <v>28</v>
      </c>
      <c r="D34" s="6">
        <f t="shared" si="1"/>
        <v>2.6001092000000003</v>
      </c>
      <c r="E34" s="7">
        <f>'heat production'!$F$9</f>
        <v>0</v>
      </c>
      <c r="F34" s="13"/>
      <c r="G34" s="14"/>
      <c r="H34" s="5">
        <f>'heat production'!$F$10</f>
        <v>0</v>
      </c>
      <c r="I34" s="13"/>
      <c r="J34" s="14"/>
      <c r="K34" s="5">
        <f>'heat production'!$F$11</f>
        <v>0</v>
      </c>
      <c r="L34" s="13"/>
      <c r="M34" s="14"/>
      <c r="N34" s="5">
        <f>'heat production'!$G$9</f>
        <v>0</v>
      </c>
      <c r="O34" s="13"/>
      <c r="P34" s="14"/>
      <c r="Q34" s="5">
        <f>'heat production'!$G$10</f>
        <v>0</v>
      </c>
      <c r="R34" s="13"/>
      <c r="S34" s="14"/>
      <c r="T34" s="5">
        <f>'heat production'!$G$11</f>
        <v>0</v>
      </c>
      <c r="U34" s="13"/>
      <c r="V34" s="14"/>
    </row>
    <row r="35" spans="1:22" x14ac:dyDescent="0.2">
      <c r="A35" t="s">
        <v>30</v>
      </c>
      <c r="B35" t="s">
        <v>6</v>
      </c>
      <c r="C35" s="1">
        <v>29</v>
      </c>
      <c r="D35" s="6">
        <f t="shared" si="1"/>
        <v>2.6001131000000002</v>
      </c>
      <c r="E35" s="7">
        <f>'heat production'!$F$9</f>
        <v>0</v>
      </c>
      <c r="F35" s="13"/>
      <c r="G35" s="14"/>
      <c r="H35" s="5">
        <f>'heat production'!$F$10</f>
        <v>0</v>
      </c>
      <c r="I35" s="13"/>
      <c r="J35" s="14"/>
      <c r="K35" s="5">
        <f>'heat production'!$F$11</f>
        <v>0</v>
      </c>
      <c r="L35" s="13"/>
      <c r="M35" s="14"/>
      <c r="N35" s="5">
        <f>'heat production'!$G$9</f>
        <v>0</v>
      </c>
      <c r="O35" s="13"/>
      <c r="P35" s="14"/>
      <c r="Q35" s="5">
        <f>'heat production'!$G$10</f>
        <v>0</v>
      </c>
      <c r="R35" s="13"/>
      <c r="S35" s="14"/>
      <c r="T35" s="5">
        <f>'heat production'!$G$11</f>
        <v>0</v>
      </c>
      <c r="U35" s="13"/>
      <c r="V35" s="14"/>
    </row>
    <row r="36" spans="1:22" x14ac:dyDescent="0.2">
      <c r="A36" t="s">
        <v>30</v>
      </c>
      <c r="B36" t="s">
        <v>6</v>
      </c>
      <c r="C36" s="1">
        <v>30</v>
      </c>
      <c r="D36" s="6">
        <f t="shared" si="1"/>
        <v>2.6001170000000005</v>
      </c>
      <c r="E36" s="7">
        <f>'heat production'!$F$9</f>
        <v>0</v>
      </c>
      <c r="F36" s="13"/>
      <c r="G36" s="14"/>
      <c r="H36" s="5">
        <f>'heat production'!$F$10</f>
        <v>0</v>
      </c>
      <c r="I36" s="13"/>
      <c r="J36" s="14"/>
      <c r="K36" s="5">
        <f>'heat production'!$F$11</f>
        <v>0</v>
      </c>
      <c r="L36" s="13"/>
      <c r="M36" s="14"/>
      <c r="N36" s="5">
        <f>'heat production'!$G$9</f>
        <v>0</v>
      </c>
      <c r="O36" s="13"/>
      <c r="P36" s="14"/>
      <c r="Q36" s="5">
        <f>'heat production'!$G$10</f>
        <v>0</v>
      </c>
      <c r="R36" s="13"/>
      <c r="S36" s="14"/>
      <c r="T36" s="5">
        <f>'heat production'!$G$11</f>
        <v>0</v>
      </c>
      <c r="U36" s="13"/>
      <c r="V36" s="14"/>
    </row>
    <row r="37" spans="1:22" x14ac:dyDescent="0.2">
      <c r="A37" t="s">
        <v>30</v>
      </c>
      <c r="B37" t="s">
        <v>6</v>
      </c>
      <c r="C37" s="1">
        <v>31</v>
      </c>
      <c r="D37" s="6">
        <f t="shared" si="1"/>
        <v>2.6001209000000003</v>
      </c>
      <c r="E37" s="7">
        <f>'heat production'!$F$9</f>
        <v>0</v>
      </c>
      <c r="F37" s="13"/>
      <c r="G37" s="14"/>
      <c r="H37" s="5">
        <f>'heat production'!$F$10</f>
        <v>0</v>
      </c>
      <c r="I37" s="13"/>
      <c r="J37" s="14"/>
      <c r="K37" s="5">
        <f>'heat production'!$F$11</f>
        <v>0</v>
      </c>
      <c r="L37" s="13"/>
      <c r="M37" s="14"/>
      <c r="N37" s="5">
        <f>'heat production'!$G$9</f>
        <v>0</v>
      </c>
      <c r="O37" s="13"/>
      <c r="P37" s="14"/>
      <c r="Q37" s="5">
        <f>'heat production'!$G$10</f>
        <v>0</v>
      </c>
      <c r="R37" s="13"/>
      <c r="S37" s="14"/>
      <c r="T37" s="5">
        <f>'heat production'!$G$11</f>
        <v>0</v>
      </c>
      <c r="U37" s="13"/>
      <c r="V37" s="14"/>
    </row>
    <row r="38" spans="1:22" x14ac:dyDescent="0.2">
      <c r="A38" t="s">
        <v>30</v>
      </c>
      <c r="B38" t="s">
        <v>6</v>
      </c>
      <c r="C38" s="1">
        <v>32</v>
      </c>
      <c r="D38" s="6">
        <f t="shared" si="1"/>
        <v>2.6001248000000001</v>
      </c>
      <c r="E38" s="7">
        <f>'heat production'!$F$9</f>
        <v>0</v>
      </c>
      <c r="F38" s="13"/>
      <c r="G38" s="14"/>
      <c r="H38" s="5">
        <f>'heat production'!$F$10</f>
        <v>0</v>
      </c>
      <c r="I38" s="13"/>
      <c r="J38" s="14"/>
      <c r="K38" s="5">
        <f>'heat production'!$F$11</f>
        <v>0</v>
      </c>
      <c r="L38" s="13"/>
      <c r="M38" s="14"/>
      <c r="N38" s="5">
        <f>'heat production'!$G$9</f>
        <v>0</v>
      </c>
      <c r="O38" s="13"/>
      <c r="P38" s="14"/>
      <c r="Q38" s="5">
        <f>'heat production'!$G$10</f>
        <v>0</v>
      </c>
      <c r="R38" s="13"/>
      <c r="S38" s="14"/>
      <c r="T38" s="5">
        <f>'heat production'!$G$11</f>
        <v>0</v>
      </c>
      <c r="U38" s="13"/>
      <c r="V38" s="14"/>
    </row>
    <row r="39" spans="1:22" x14ac:dyDescent="0.2">
      <c r="A39" t="s">
        <v>30</v>
      </c>
      <c r="B39" t="s">
        <v>6</v>
      </c>
      <c r="C39" s="1">
        <v>33</v>
      </c>
      <c r="D39" s="6">
        <f t="shared" si="1"/>
        <v>2.6001287000000004</v>
      </c>
      <c r="E39" s="7">
        <f>'heat production'!$F$9</f>
        <v>0</v>
      </c>
      <c r="F39" s="13"/>
      <c r="G39" s="14"/>
      <c r="H39" s="5">
        <f>'heat production'!$F$10</f>
        <v>0</v>
      </c>
      <c r="I39" s="13"/>
      <c r="J39" s="14"/>
      <c r="K39" s="5">
        <f>'heat production'!$F$11</f>
        <v>0</v>
      </c>
      <c r="L39" s="13"/>
      <c r="M39" s="14"/>
      <c r="N39" s="5">
        <f>'heat production'!$G$9</f>
        <v>0</v>
      </c>
      <c r="O39" s="13"/>
      <c r="P39" s="14"/>
      <c r="Q39" s="5">
        <f>'heat production'!$G$10</f>
        <v>0</v>
      </c>
      <c r="R39" s="13"/>
      <c r="S39" s="14"/>
      <c r="T39" s="5">
        <f>'heat production'!$G$11</f>
        <v>0</v>
      </c>
      <c r="U39" s="13"/>
      <c r="V39" s="14"/>
    </row>
    <row r="40" spans="1:22" x14ac:dyDescent="0.2">
      <c r="A40" t="s">
        <v>30</v>
      </c>
      <c r="B40" t="s">
        <v>6</v>
      </c>
      <c r="C40" s="1">
        <v>34</v>
      </c>
      <c r="D40" s="6">
        <f t="shared" si="1"/>
        <v>2.6001326000000002</v>
      </c>
      <c r="E40" s="7">
        <f>'heat production'!$F$9</f>
        <v>0</v>
      </c>
      <c r="F40" s="13"/>
      <c r="G40" s="14"/>
      <c r="H40" s="5">
        <f>'heat production'!$F$10</f>
        <v>0</v>
      </c>
      <c r="I40" s="13"/>
      <c r="J40" s="14"/>
      <c r="K40" s="5">
        <f>'heat production'!$F$11</f>
        <v>0</v>
      </c>
      <c r="L40" s="13"/>
      <c r="M40" s="14"/>
      <c r="N40" s="5">
        <f>'heat production'!$G$9</f>
        <v>0</v>
      </c>
      <c r="O40" s="13"/>
      <c r="P40" s="14"/>
      <c r="Q40" s="5">
        <f>'heat production'!$G$10</f>
        <v>0</v>
      </c>
      <c r="R40" s="13"/>
      <c r="S40" s="14"/>
      <c r="T40" s="5">
        <f>'heat production'!$G$11</f>
        <v>0</v>
      </c>
      <c r="U40" s="13"/>
      <c r="V40" s="14"/>
    </row>
    <row r="41" spans="1:22" x14ac:dyDescent="0.2">
      <c r="A41" t="s">
        <v>30</v>
      </c>
      <c r="B41" t="s">
        <v>6</v>
      </c>
      <c r="C41" s="1">
        <v>35</v>
      </c>
      <c r="D41" s="6">
        <f t="shared" si="1"/>
        <v>2.6001365000000001</v>
      </c>
      <c r="E41" s="7">
        <f>'heat production'!$F$9</f>
        <v>0</v>
      </c>
      <c r="F41" s="13"/>
      <c r="G41" s="14"/>
      <c r="H41" s="5">
        <f>'heat production'!$F$10</f>
        <v>0</v>
      </c>
      <c r="I41" s="13"/>
      <c r="J41" s="14"/>
      <c r="K41" s="5">
        <f>'heat production'!$F$11</f>
        <v>0</v>
      </c>
      <c r="L41" s="13"/>
      <c r="M41" s="14"/>
      <c r="N41" s="5">
        <f>'heat production'!$G$9</f>
        <v>0</v>
      </c>
      <c r="O41" s="13"/>
      <c r="P41" s="14"/>
      <c r="Q41" s="5">
        <f>'heat production'!$G$10</f>
        <v>0</v>
      </c>
      <c r="R41" s="13"/>
      <c r="S41" s="14"/>
      <c r="T41" s="5">
        <f>'heat production'!$G$11</f>
        <v>0</v>
      </c>
      <c r="U41" s="13"/>
      <c r="V41" s="14"/>
    </row>
    <row r="42" spans="1:22" x14ac:dyDescent="0.2">
      <c r="A42" t="s">
        <v>30</v>
      </c>
      <c r="B42" t="s">
        <v>6</v>
      </c>
      <c r="C42" s="1">
        <v>36</v>
      </c>
      <c r="D42" s="6">
        <f t="shared" si="1"/>
        <v>2.6001403999999999</v>
      </c>
      <c r="E42" s="7">
        <f>'heat production'!$F$9</f>
        <v>0</v>
      </c>
      <c r="F42" s="13"/>
      <c r="G42" s="14"/>
      <c r="H42" s="5">
        <f>'heat production'!$F$10</f>
        <v>0</v>
      </c>
      <c r="I42" s="13"/>
      <c r="J42" s="14"/>
      <c r="K42" s="5">
        <f>'heat production'!$F$11</f>
        <v>0</v>
      </c>
      <c r="L42" s="13"/>
      <c r="M42" s="14"/>
      <c r="N42" s="5">
        <f>'heat production'!$G$9</f>
        <v>0</v>
      </c>
      <c r="O42" s="13"/>
      <c r="P42" s="14"/>
      <c r="Q42" s="5">
        <f>'heat production'!$G$10</f>
        <v>0</v>
      </c>
      <c r="R42" s="13"/>
      <c r="S42" s="14"/>
      <c r="T42" s="5">
        <f>'heat production'!$G$11</f>
        <v>0</v>
      </c>
      <c r="U42" s="13"/>
      <c r="V42" s="14"/>
    </row>
    <row r="43" spans="1:22" x14ac:dyDescent="0.2">
      <c r="A43" t="s">
        <v>30</v>
      </c>
      <c r="B43" t="s">
        <v>6</v>
      </c>
      <c r="C43" s="1">
        <v>37</v>
      </c>
      <c r="D43" s="6">
        <f t="shared" si="1"/>
        <v>2.6001443000000002</v>
      </c>
      <c r="E43" s="7">
        <f>'heat production'!$F$9</f>
        <v>0</v>
      </c>
      <c r="F43" s="13"/>
      <c r="G43" s="14"/>
      <c r="H43" s="5">
        <f>'heat production'!$F$10</f>
        <v>0</v>
      </c>
      <c r="I43" s="13"/>
      <c r="J43" s="14"/>
      <c r="K43" s="5">
        <f>'heat production'!$F$11</f>
        <v>0</v>
      </c>
      <c r="L43" s="13"/>
      <c r="M43" s="14"/>
      <c r="N43" s="5">
        <f>'heat production'!$G$9</f>
        <v>0</v>
      </c>
      <c r="O43" s="13"/>
      <c r="P43" s="14"/>
      <c r="Q43" s="5">
        <f>'heat production'!$G$10</f>
        <v>0</v>
      </c>
      <c r="R43" s="13"/>
      <c r="S43" s="14"/>
      <c r="T43" s="5">
        <f>'heat production'!$G$11</f>
        <v>0</v>
      </c>
      <c r="U43" s="13"/>
      <c r="V43" s="14"/>
    </row>
    <row r="44" spans="1:22" x14ac:dyDescent="0.2">
      <c r="A44" t="s">
        <v>30</v>
      </c>
      <c r="B44" t="s">
        <v>6</v>
      </c>
      <c r="C44" s="1">
        <v>38</v>
      </c>
      <c r="D44" s="6">
        <f t="shared" si="1"/>
        <v>2.6001482</v>
      </c>
      <c r="E44" s="7">
        <f>'heat production'!$F$9</f>
        <v>0</v>
      </c>
      <c r="F44" s="13"/>
      <c r="G44" s="14"/>
      <c r="H44" s="5">
        <f>'heat production'!$F$10</f>
        <v>0</v>
      </c>
      <c r="I44" s="13"/>
      <c r="J44" s="14"/>
      <c r="K44" s="5">
        <f>'heat production'!$F$11</f>
        <v>0</v>
      </c>
      <c r="L44" s="13"/>
      <c r="M44" s="14"/>
      <c r="N44" s="5">
        <f>'heat production'!$G$9</f>
        <v>0</v>
      </c>
      <c r="O44" s="13"/>
      <c r="P44" s="14"/>
      <c r="Q44" s="5">
        <f>'heat production'!$G$10</f>
        <v>0</v>
      </c>
      <c r="R44" s="13"/>
      <c r="S44" s="14"/>
      <c r="T44" s="5">
        <f>'heat production'!$G$11</f>
        <v>0</v>
      </c>
      <c r="U44" s="13"/>
      <c r="V44" s="14"/>
    </row>
    <row r="45" spans="1:22" x14ac:dyDescent="0.2">
      <c r="A45" t="s">
        <v>30</v>
      </c>
      <c r="B45" t="s">
        <v>6</v>
      </c>
      <c r="C45" s="1">
        <v>39</v>
      </c>
      <c r="D45" s="6">
        <f t="shared" si="1"/>
        <v>2.6001520999999999</v>
      </c>
      <c r="E45" s="7">
        <f>'heat production'!$F$9</f>
        <v>0</v>
      </c>
      <c r="F45" s="13"/>
      <c r="G45" s="14"/>
      <c r="H45" s="5">
        <f>'heat production'!$F$10</f>
        <v>0</v>
      </c>
      <c r="I45" s="13"/>
      <c r="J45" s="14"/>
      <c r="K45" s="5">
        <f>'heat production'!$F$11</f>
        <v>0</v>
      </c>
      <c r="L45" s="13"/>
      <c r="M45" s="14"/>
      <c r="N45" s="5">
        <f>'heat production'!$G$9</f>
        <v>0</v>
      </c>
      <c r="O45" s="13"/>
      <c r="P45" s="14"/>
      <c r="Q45" s="5">
        <f>'heat production'!$G$10</f>
        <v>0</v>
      </c>
      <c r="R45" s="13"/>
      <c r="S45" s="14"/>
      <c r="T45" s="5">
        <f>'heat production'!$G$11</f>
        <v>0</v>
      </c>
      <c r="U45" s="13"/>
      <c r="V45" s="14"/>
    </row>
    <row r="46" spans="1:22" x14ac:dyDescent="0.2">
      <c r="A46" t="s">
        <v>31</v>
      </c>
      <c r="C46" s="1">
        <v>40</v>
      </c>
      <c r="F46" s="5">
        <f>$B$1</f>
        <v>36</v>
      </c>
      <c r="G46" s="14"/>
      <c r="H46" s="5"/>
      <c r="I46" s="5">
        <f>$B$1</f>
        <v>36</v>
      </c>
      <c r="J46" s="14"/>
      <c r="K46" s="5"/>
      <c r="L46" s="5">
        <f>$B$1</f>
        <v>36</v>
      </c>
      <c r="M46" s="14"/>
      <c r="N46" s="5"/>
      <c r="O46" s="5">
        <f>$B$1</f>
        <v>36</v>
      </c>
      <c r="P46" s="14"/>
      <c r="Q46" s="5"/>
      <c r="R46" s="5">
        <f>$B$1</f>
        <v>36</v>
      </c>
      <c r="S46" s="14"/>
      <c r="T46" s="5"/>
      <c r="U46" s="5">
        <f>$B$1</f>
        <v>36</v>
      </c>
      <c r="V46" s="14"/>
    </row>
  </sheetData>
  <mergeCells count="6">
    <mergeCell ref="T2:V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20" zoomScaleNormal="120" workbookViewId="0">
      <selection activeCell="A19" sqref="A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 production</vt:lpstr>
      <vt:lpstr>temperature</vt:lpstr>
      <vt:lpstr>geotherm 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2018-02-13T03:29:47Z</dcterms:created>
  <dcterms:modified xsi:type="dcterms:W3CDTF">2025-06-06T01:02:55Z</dcterms:modified>
</cp:coreProperties>
</file>