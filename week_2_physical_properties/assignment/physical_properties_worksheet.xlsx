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showInkAnnotation="0" autoCompressPictures="0"/>
  <mc:AlternateContent xmlns:mc="http://schemas.openxmlformats.org/markup-compatibility/2006">
    <mc:Choice Requires="x15">
      <x15ac:absPath xmlns:x15ac="http://schemas.microsoft.com/office/spreadsheetml/2010/11/ac" url="/Users/dhasterok/Library/CloudStorage/GoogleDrive-dhasterok@gmail.com/My Drive/classes/GeophysicsIIIA/problem_sets/physical_properties/"/>
    </mc:Choice>
  </mc:AlternateContent>
  <xr:revisionPtr revIDLastSave="0" documentId="13_ncr:1_{311AF3C8-01F8-364F-B716-8E1B253A7D2A}" xr6:coauthVersionLast="47" xr6:coauthVersionMax="47" xr10:uidLastSave="{00000000-0000-0000-0000-000000000000}"/>
  <bookViews>
    <workbookView xWindow="0" yWindow="760" windowWidth="29340" windowHeight="18880" tabRatio="500" activeTab="1" xr2:uid="{00000000-000D-0000-FFFF-FFFF00000000}"/>
  </bookViews>
  <sheets>
    <sheet name="Computations" sheetId="1" r:id="rId1"/>
    <sheet name="Figures" sheetId="2" r:id="rId2"/>
    <sheet name="Significance" sheetId="3" r:id="rId3"/>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47" i="2" l="1"/>
  <c r="B48" i="2"/>
  <c r="B49" i="2"/>
  <c r="B50" i="2"/>
  <c r="B51" i="2"/>
  <c r="B52" i="2"/>
  <c r="B53" i="2"/>
  <c r="B54" i="2"/>
  <c r="B55" i="2"/>
  <c r="B56" i="2"/>
  <c r="B57" i="2"/>
  <c r="B58" i="2"/>
  <c r="B59" i="2"/>
  <c r="B33" i="2"/>
  <c r="B34" i="2"/>
  <c r="B35" i="2"/>
  <c r="B36" i="2"/>
  <c r="B37" i="2"/>
  <c r="B38" i="2"/>
  <c r="B39" i="2"/>
  <c r="B40" i="2"/>
  <c r="B41" i="2"/>
  <c r="B42" i="2"/>
  <c r="B43" i="2"/>
  <c r="B44" i="2"/>
  <c r="B45" i="2"/>
  <c r="B897" i="1"/>
  <c r="B898" i="1"/>
  <c r="B899" i="1"/>
  <c r="B900" i="1"/>
  <c r="B901" i="1"/>
  <c r="B902" i="1"/>
  <c r="B903" i="1"/>
  <c r="B904" i="1"/>
  <c r="B905" i="1"/>
  <c r="B906" i="1"/>
  <c r="B907" i="1"/>
  <c r="B908" i="1"/>
  <c r="B909" i="1"/>
  <c r="B883" i="1"/>
  <c r="B884" i="1"/>
  <c r="B885" i="1"/>
  <c r="B886" i="1"/>
  <c r="B887" i="1"/>
  <c r="B888" i="1"/>
  <c r="B889" i="1"/>
  <c r="B890" i="1"/>
  <c r="B891" i="1"/>
  <c r="B892" i="1"/>
  <c r="B893" i="1"/>
  <c r="B894" i="1"/>
  <c r="B895" i="1"/>
  <c r="B838" i="1"/>
  <c r="B839" i="1"/>
  <c r="B840" i="1"/>
  <c r="B841" i="1"/>
  <c r="B842" i="1"/>
  <c r="B843" i="1"/>
  <c r="B844" i="1"/>
  <c r="B845" i="1"/>
  <c r="B846" i="1"/>
  <c r="B847" i="1"/>
  <c r="B848" i="1"/>
  <c r="B849" i="1"/>
  <c r="B850" i="1"/>
  <c r="B824" i="1"/>
  <c r="B825" i="1"/>
  <c r="B826" i="1"/>
  <c r="B827" i="1"/>
  <c r="B828" i="1"/>
  <c r="B829" i="1"/>
  <c r="B830" i="1"/>
  <c r="B831" i="1"/>
  <c r="B832" i="1"/>
  <c r="B833" i="1"/>
  <c r="B834" i="1"/>
  <c r="B835" i="1"/>
  <c r="B836" i="1"/>
  <c r="B779" i="1"/>
  <c r="B780" i="1"/>
  <c r="B781" i="1"/>
  <c r="B782" i="1"/>
  <c r="B783" i="1"/>
  <c r="B784" i="1"/>
  <c r="B785" i="1"/>
  <c r="B786" i="1"/>
  <c r="B787" i="1"/>
  <c r="B788" i="1"/>
  <c r="B789" i="1"/>
  <c r="B790" i="1"/>
  <c r="B791" i="1"/>
  <c r="B765" i="1"/>
  <c r="B766" i="1"/>
  <c r="B767" i="1"/>
  <c r="B768" i="1"/>
  <c r="B769" i="1"/>
  <c r="B770" i="1"/>
  <c r="B771" i="1"/>
  <c r="B772" i="1"/>
  <c r="B773" i="1"/>
  <c r="B774" i="1"/>
  <c r="B775" i="1"/>
  <c r="B776" i="1"/>
  <c r="B777" i="1"/>
  <c r="B720" i="1"/>
  <c r="B721" i="1"/>
  <c r="B722" i="1"/>
  <c r="B723" i="1"/>
  <c r="B724" i="1"/>
  <c r="B725" i="1"/>
  <c r="B726" i="1"/>
  <c r="B727" i="1"/>
  <c r="B728" i="1"/>
  <c r="B729" i="1"/>
  <c r="B730" i="1"/>
  <c r="B731" i="1"/>
  <c r="B732" i="1"/>
  <c r="B706" i="1"/>
  <c r="B707" i="1"/>
  <c r="B708" i="1"/>
  <c r="B709" i="1"/>
  <c r="B710" i="1"/>
  <c r="B711" i="1"/>
  <c r="B712" i="1"/>
  <c r="B713" i="1"/>
  <c r="B714" i="1"/>
  <c r="B715" i="1"/>
  <c r="B716" i="1"/>
  <c r="B717" i="1"/>
  <c r="B718" i="1"/>
  <c r="B661" i="1"/>
  <c r="B662" i="1"/>
  <c r="B663" i="1"/>
  <c r="B664" i="1"/>
  <c r="B665" i="1"/>
  <c r="B666" i="1"/>
  <c r="B667" i="1"/>
  <c r="B668" i="1"/>
  <c r="B669" i="1"/>
  <c r="B670" i="1"/>
  <c r="B671" i="1"/>
  <c r="B672" i="1"/>
  <c r="B673" i="1"/>
  <c r="B647" i="1"/>
  <c r="B648" i="1"/>
  <c r="B649" i="1"/>
  <c r="B650" i="1"/>
  <c r="B651" i="1"/>
  <c r="B652" i="1"/>
  <c r="B653" i="1"/>
  <c r="B654" i="1"/>
  <c r="B655" i="1"/>
  <c r="B656" i="1"/>
  <c r="B657" i="1"/>
  <c r="B658" i="1"/>
  <c r="B659" i="1"/>
  <c r="B602" i="1"/>
  <c r="B603" i="1"/>
  <c r="B604" i="1"/>
  <c r="B605" i="1"/>
  <c r="B606" i="1"/>
  <c r="B607" i="1"/>
  <c r="B608" i="1"/>
  <c r="B609" i="1"/>
  <c r="B610" i="1"/>
  <c r="B611" i="1"/>
  <c r="B612" i="1"/>
  <c r="B613" i="1"/>
  <c r="B614" i="1"/>
  <c r="B588" i="1"/>
  <c r="B589" i="1"/>
  <c r="B590" i="1"/>
  <c r="B591" i="1"/>
  <c r="B592" i="1"/>
  <c r="B593" i="1"/>
  <c r="B594" i="1"/>
  <c r="B595" i="1"/>
  <c r="B596" i="1"/>
  <c r="B597" i="1"/>
  <c r="B598" i="1"/>
  <c r="B599" i="1"/>
  <c r="B600" i="1"/>
  <c r="B543" i="1"/>
  <c r="B544" i="1"/>
  <c r="B545" i="1"/>
  <c r="B546" i="1"/>
  <c r="B547" i="1"/>
  <c r="B548" i="1"/>
  <c r="B549" i="1"/>
  <c r="B550" i="1"/>
  <c r="B551" i="1"/>
  <c r="B552" i="1"/>
  <c r="B553" i="1"/>
  <c r="B554" i="1"/>
  <c r="B555" i="1"/>
  <c r="B529" i="1"/>
  <c r="B530" i="1"/>
  <c r="B531" i="1"/>
  <c r="B532" i="1"/>
  <c r="B533" i="1"/>
  <c r="B534" i="1"/>
  <c r="B535" i="1"/>
  <c r="B536" i="1"/>
  <c r="B537" i="1"/>
  <c r="B538" i="1"/>
  <c r="B539" i="1"/>
  <c r="B540" i="1"/>
  <c r="B541" i="1"/>
  <c r="B484" i="1"/>
  <c r="B485" i="1"/>
  <c r="B486" i="1"/>
  <c r="B487" i="1"/>
  <c r="B488" i="1"/>
  <c r="B489" i="1"/>
  <c r="B490" i="1"/>
  <c r="B491" i="1"/>
  <c r="B492" i="1"/>
  <c r="B493" i="1"/>
  <c r="B494" i="1"/>
  <c r="B495" i="1"/>
  <c r="B496" i="1"/>
  <c r="B470" i="1"/>
  <c r="B471" i="1"/>
  <c r="B472" i="1"/>
  <c r="B473" i="1"/>
  <c r="B474" i="1"/>
  <c r="B475" i="1"/>
  <c r="B476" i="1"/>
  <c r="B477" i="1"/>
  <c r="B478" i="1"/>
  <c r="B479" i="1"/>
  <c r="B480" i="1"/>
  <c r="B481" i="1"/>
  <c r="B482" i="1"/>
  <c r="B425" i="1"/>
  <c r="B426" i="1"/>
  <c r="B427" i="1"/>
  <c r="B428" i="1"/>
  <c r="B429" i="1"/>
  <c r="B430" i="1"/>
  <c r="B431" i="1"/>
  <c r="B432" i="1"/>
  <c r="B433" i="1"/>
  <c r="B434" i="1"/>
  <c r="B435" i="1"/>
  <c r="B436" i="1"/>
  <c r="B437" i="1"/>
  <c r="B411" i="1"/>
  <c r="B412" i="1"/>
  <c r="B413" i="1"/>
  <c r="B414" i="1"/>
  <c r="B415" i="1"/>
  <c r="B416" i="1"/>
  <c r="B417" i="1"/>
  <c r="B418" i="1"/>
  <c r="B419" i="1"/>
  <c r="B420" i="1"/>
  <c r="B421" i="1"/>
  <c r="B422" i="1"/>
  <c r="B423" i="1"/>
  <c r="B366" i="1"/>
  <c r="B367" i="1"/>
  <c r="B368" i="1"/>
  <c r="B369" i="1"/>
  <c r="B370" i="1"/>
  <c r="B371" i="1"/>
  <c r="B372" i="1"/>
  <c r="B373" i="1"/>
  <c r="B374" i="1"/>
  <c r="B375" i="1"/>
  <c r="B376" i="1"/>
  <c r="B377" i="1"/>
  <c r="B378" i="1"/>
  <c r="B352" i="1"/>
  <c r="B353" i="1"/>
  <c r="B354" i="1"/>
  <c r="B355" i="1"/>
  <c r="B356" i="1"/>
  <c r="B357" i="1"/>
  <c r="B358" i="1"/>
  <c r="B359" i="1"/>
  <c r="B360" i="1"/>
  <c r="B361" i="1"/>
  <c r="B362" i="1"/>
  <c r="B363" i="1"/>
  <c r="B364" i="1"/>
  <c r="B307" i="1"/>
  <c r="B308" i="1"/>
  <c r="B309" i="1"/>
  <c r="B310" i="1"/>
  <c r="B311" i="1"/>
  <c r="B312" i="1"/>
  <c r="B313" i="1"/>
  <c r="B314" i="1"/>
  <c r="B315" i="1"/>
  <c r="B316" i="1"/>
  <c r="B317" i="1"/>
  <c r="B318" i="1"/>
  <c r="B319" i="1"/>
  <c r="B293" i="1"/>
  <c r="B294" i="1"/>
  <c r="B295" i="1"/>
  <c r="B296" i="1"/>
  <c r="B297" i="1"/>
  <c r="B298" i="1"/>
  <c r="B299" i="1"/>
  <c r="B300" i="1"/>
  <c r="B301" i="1"/>
  <c r="B302" i="1"/>
  <c r="B303" i="1"/>
  <c r="B304" i="1"/>
  <c r="B305" i="1"/>
  <c r="B248" i="1"/>
  <c r="B249" i="1"/>
  <c r="B250" i="1"/>
  <c r="B251" i="1"/>
  <c r="B252" i="1"/>
  <c r="B253" i="1"/>
  <c r="B254" i="1"/>
  <c r="B255" i="1"/>
  <c r="B256" i="1"/>
  <c r="B257" i="1"/>
  <c r="B258" i="1"/>
  <c r="B259" i="1"/>
  <c r="B260" i="1"/>
  <c r="B234" i="1"/>
  <c r="B235" i="1"/>
  <c r="B236" i="1"/>
  <c r="B237" i="1"/>
  <c r="B238" i="1"/>
  <c r="B239" i="1"/>
  <c r="B240" i="1"/>
  <c r="B241" i="1"/>
  <c r="B242" i="1"/>
  <c r="B243" i="1"/>
  <c r="B244" i="1"/>
  <c r="B245" i="1"/>
  <c r="B246" i="1"/>
  <c r="B189" i="1"/>
  <c r="B190" i="1"/>
  <c r="B191" i="1"/>
  <c r="B192" i="1"/>
  <c r="B193" i="1"/>
  <c r="B194" i="1"/>
  <c r="B195" i="1"/>
  <c r="B196" i="1"/>
  <c r="B197" i="1"/>
  <c r="B198" i="1"/>
  <c r="B199" i="1"/>
  <c r="B200" i="1"/>
  <c r="B201" i="1"/>
  <c r="B175" i="1"/>
  <c r="B176" i="1"/>
  <c r="B177" i="1"/>
  <c r="B178" i="1"/>
  <c r="B179" i="1"/>
  <c r="B180" i="1"/>
  <c r="B181" i="1"/>
  <c r="B182" i="1"/>
  <c r="B183" i="1"/>
  <c r="B184" i="1"/>
  <c r="B185" i="1"/>
  <c r="B186" i="1"/>
  <c r="B187" i="1"/>
  <c r="B130" i="1"/>
  <c r="B131" i="1"/>
  <c r="B132" i="1"/>
  <c r="B133" i="1"/>
  <c r="B134" i="1"/>
  <c r="B135" i="1"/>
  <c r="B136" i="1"/>
  <c r="B137" i="1"/>
  <c r="B138" i="1"/>
  <c r="B139" i="1"/>
  <c r="B140" i="1"/>
  <c r="B141" i="1"/>
  <c r="B142" i="1"/>
  <c r="B116" i="1"/>
  <c r="B117" i="1"/>
  <c r="B118" i="1"/>
  <c r="B119" i="1"/>
  <c r="B120" i="1"/>
  <c r="B121" i="1"/>
  <c r="B122" i="1"/>
  <c r="B123" i="1"/>
  <c r="B124" i="1"/>
  <c r="B125" i="1"/>
  <c r="B126" i="1"/>
  <c r="B127" i="1"/>
  <c r="B128" i="1"/>
  <c r="B70" i="1"/>
  <c r="B71" i="1"/>
  <c r="B72" i="1"/>
  <c r="B73" i="1"/>
  <c r="B74" i="1"/>
  <c r="B75" i="1"/>
  <c r="B76" i="1"/>
  <c r="B77" i="1"/>
  <c r="B78" i="1"/>
  <c r="B79" i="1"/>
  <c r="B80" i="1"/>
  <c r="B81" i="1"/>
  <c r="B82" i="1"/>
  <c r="B56" i="1"/>
  <c r="B57" i="1"/>
  <c r="B58" i="1"/>
  <c r="B59" i="1"/>
  <c r="B60" i="1"/>
  <c r="B61" i="1"/>
  <c r="B62" i="1"/>
  <c r="B63" i="1"/>
  <c r="B64" i="1"/>
  <c r="B65" i="1"/>
  <c r="B66" i="1"/>
  <c r="B67" i="1"/>
  <c r="B68" i="1"/>
  <c r="AP25" i="1"/>
  <c r="AP24" i="1"/>
  <c r="AP23" i="1"/>
  <c r="C82" i="1"/>
  <c r="D82" i="1"/>
  <c r="E82" i="1"/>
  <c r="F82" i="1"/>
  <c r="G82" i="1"/>
  <c r="H82" i="1"/>
  <c r="I82" i="1"/>
  <c r="J82" i="1"/>
  <c r="K82" i="1"/>
  <c r="L82" i="1"/>
  <c r="M82" i="1"/>
  <c r="N82" i="1"/>
  <c r="O82" i="1"/>
  <c r="P82" i="1"/>
  <c r="Q82" i="1"/>
  <c r="R82" i="1"/>
  <c r="S82" i="1"/>
  <c r="T82" i="1"/>
  <c r="U82" i="1"/>
  <c r="I59" i="2"/>
  <c r="J59" i="2"/>
  <c r="K59" i="2"/>
  <c r="L59" i="2"/>
  <c r="C81" i="1"/>
  <c r="D81" i="1"/>
  <c r="E81" i="1"/>
  <c r="F81" i="1"/>
  <c r="G81" i="1"/>
  <c r="H81" i="1"/>
  <c r="I81" i="1"/>
  <c r="J81" i="1"/>
  <c r="K81" i="1"/>
  <c r="L81" i="1"/>
  <c r="M81" i="1"/>
  <c r="N81" i="1"/>
  <c r="O81" i="1"/>
  <c r="P81" i="1"/>
  <c r="Q81" i="1"/>
  <c r="R81" i="1"/>
  <c r="S81" i="1"/>
  <c r="T81" i="1"/>
  <c r="U81" i="1"/>
  <c r="I58" i="2"/>
  <c r="J58" i="2"/>
  <c r="K58" i="2"/>
  <c r="L58" i="2"/>
  <c r="C80" i="1"/>
  <c r="D80" i="1"/>
  <c r="E80" i="1"/>
  <c r="F80" i="1"/>
  <c r="G80" i="1"/>
  <c r="H80" i="1"/>
  <c r="I80" i="1"/>
  <c r="J80" i="1"/>
  <c r="K80" i="1"/>
  <c r="L80" i="1"/>
  <c r="M80" i="1"/>
  <c r="N80" i="1"/>
  <c r="O80" i="1"/>
  <c r="P80" i="1"/>
  <c r="Q80" i="1"/>
  <c r="R80" i="1"/>
  <c r="S80" i="1"/>
  <c r="T80" i="1"/>
  <c r="U80" i="1"/>
  <c r="I57" i="2"/>
  <c r="J57" i="2"/>
  <c r="K57" i="2"/>
  <c r="L57" i="2"/>
  <c r="C79" i="1"/>
  <c r="D79" i="1"/>
  <c r="E79" i="1"/>
  <c r="F79" i="1"/>
  <c r="G79" i="1"/>
  <c r="H79" i="1"/>
  <c r="I79" i="1"/>
  <c r="J79" i="1"/>
  <c r="K79" i="1"/>
  <c r="L79" i="1"/>
  <c r="M79" i="1"/>
  <c r="N79" i="1"/>
  <c r="O79" i="1"/>
  <c r="P79" i="1"/>
  <c r="Q79" i="1"/>
  <c r="R79" i="1"/>
  <c r="S79" i="1"/>
  <c r="T79" i="1"/>
  <c r="U79" i="1"/>
  <c r="I56" i="2"/>
  <c r="J56" i="2"/>
  <c r="K56" i="2"/>
  <c r="L56" i="2"/>
  <c r="C78" i="1"/>
  <c r="D78" i="1"/>
  <c r="E78" i="1"/>
  <c r="F78" i="1"/>
  <c r="G78" i="1"/>
  <c r="H78" i="1"/>
  <c r="I78" i="1"/>
  <c r="J78" i="1"/>
  <c r="K78" i="1"/>
  <c r="L78" i="1"/>
  <c r="M78" i="1"/>
  <c r="N78" i="1"/>
  <c r="O78" i="1"/>
  <c r="P78" i="1"/>
  <c r="Q78" i="1"/>
  <c r="R78" i="1"/>
  <c r="S78" i="1"/>
  <c r="T78" i="1"/>
  <c r="U78" i="1"/>
  <c r="I55" i="2"/>
  <c r="J55" i="2"/>
  <c r="K55" i="2"/>
  <c r="L55" i="2"/>
  <c r="C77" i="1"/>
  <c r="D77" i="1"/>
  <c r="E77" i="1"/>
  <c r="F77" i="1"/>
  <c r="G77" i="1"/>
  <c r="H77" i="1"/>
  <c r="I77" i="1"/>
  <c r="J77" i="1"/>
  <c r="K77" i="1"/>
  <c r="L77" i="1"/>
  <c r="M77" i="1"/>
  <c r="N77" i="1"/>
  <c r="O77" i="1"/>
  <c r="P77" i="1"/>
  <c r="Q77" i="1"/>
  <c r="R77" i="1"/>
  <c r="S77" i="1"/>
  <c r="T77" i="1"/>
  <c r="U77" i="1"/>
  <c r="I54" i="2"/>
  <c r="J54" i="2"/>
  <c r="K54" i="2"/>
  <c r="L54" i="2"/>
  <c r="C76" i="1"/>
  <c r="D76" i="1"/>
  <c r="E76" i="1"/>
  <c r="F76" i="1"/>
  <c r="G76" i="1"/>
  <c r="H76" i="1"/>
  <c r="I76" i="1"/>
  <c r="J76" i="1"/>
  <c r="K76" i="1"/>
  <c r="L76" i="1"/>
  <c r="M76" i="1"/>
  <c r="N76" i="1"/>
  <c r="O76" i="1"/>
  <c r="P76" i="1"/>
  <c r="Q76" i="1"/>
  <c r="R76" i="1"/>
  <c r="S76" i="1"/>
  <c r="T76" i="1"/>
  <c r="U76" i="1"/>
  <c r="I53" i="2"/>
  <c r="J53" i="2"/>
  <c r="K53" i="2"/>
  <c r="L53" i="2"/>
  <c r="C75" i="1"/>
  <c r="D75" i="1"/>
  <c r="E75" i="1"/>
  <c r="F75" i="1"/>
  <c r="G75" i="1"/>
  <c r="H75" i="1"/>
  <c r="I75" i="1"/>
  <c r="J75" i="1"/>
  <c r="K75" i="1"/>
  <c r="L75" i="1"/>
  <c r="M75" i="1"/>
  <c r="N75" i="1"/>
  <c r="O75" i="1"/>
  <c r="P75" i="1"/>
  <c r="Q75" i="1"/>
  <c r="R75" i="1"/>
  <c r="S75" i="1"/>
  <c r="T75" i="1"/>
  <c r="U75" i="1"/>
  <c r="I52" i="2"/>
  <c r="J52" i="2"/>
  <c r="K52" i="2"/>
  <c r="L52" i="2"/>
  <c r="C74" i="1"/>
  <c r="D74" i="1"/>
  <c r="E74" i="1"/>
  <c r="F74" i="1"/>
  <c r="G74" i="1"/>
  <c r="H74" i="1"/>
  <c r="I74" i="1"/>
  <c r="J74" i="1"/>
  <c r="K74" i="1"/>
  <c r="L74" i="1"/>
  <c r="M74" i="1"/>
  <c r="N74" i="1"/>
  <c r="O74" i="1"/>
  <c r="P74" i="1"/>
  <c r="Q74" i="1"/>
  <c r="R74" i="1"/>
  <c r="S74" i="1"/>
  <c r="T74" i="1"/>
  <c r="U74" i="1"/>
  <c r="I51" i="2"/>
  <c r="J51" i="2"/>
  <c r="K51" i="2"/>
  <c r="L51" i="2"/>
  <c r="C73" i="1"/>
  <c r="D73" i="1"/>
  <c r="E73" i="1"/>
  <c r="F73" i="1"/>
  <c r="G73" i="1"/>
  <c r="H73" i="1"/>
  <c r="I73" i="1"/>
  <c r="J73" i="1"/>
  <c r="K73" i="1"/>
  <c r="L73" i="1"/>
  <c r="M73" i="1"/>
  <c r="N73" i="1"/>
  <c r="O73" i="1"/>
  <c r="P73" i="1"/>
  <c r="Q73" i="1"/>
  <c r="R73" i="1"/>
  <c r="S73" i="1"/>
  <c r="T73" i="1"/>
  <c r="U73" i="1"/>
  <c r="I50" i="2"/>
  <c r="J50" i="2"/>
  <c r="K50" i="2"/>
  <c r="L50" i="2"/>
  <c r="C72" i="1"/>
  <c r="D72" i="1"/>
  <c r="E72" i="1"/>
  <c r="F72" i="1"/>
  <c r="G72" i="1"/>
  <c r="H72" i="1"/>
  <c r="I72" i="1"/>
  <c r="J72" i="1"/>
  <c r="K72" i="1"/>
  <c r="L72" i="1"/>
  <c r="M72" i="1"/>
  <c r="N72" i="1"/>
  <c r="O72" i="1"/>
  <c r="P72" i="1"/>
  <c r="Q72" i="1"/>
  <c r="R72" i="1"/>
  <c r="S72" i="1"/>
  <c r="T72" i="1"/>
  <c r="U72" i="1"/>
  <c r="I49" i="2"/>
  <c r="J49" i="2"/>
  <c r="K49" i="2"/>
  <c r="L49" i="2"/>
  <c r="C71" i="1"/>
  <c r="D71" i="1"/>
  <c r="E71" i="1"/>
  <c r="F71" i="1"/>
  <c r="G71" i="1"/>
  <c r="H71" i="1"/>
  <c r="I71" i="1"/>
  <c r="J71" i="1"/>
  <c r="K71" i="1"/>
  <c r="L71" i="1"/>
  <c r="M71" i="1"/>
  <c r="N71" i="1"/>
  <c r="O71" i="1"/>
  <c r="P71" i="1"/>
  <c r="Q71" i="1"/>
  <c r="R71" i="1"/>
  <c r="S71" i="1"/>
  <c r="T71" i="1"/>
  <c r="U71" i="1"/>
  <c r="I48" i="2"/>
  <c r="J48" i="2"/>
  <c r="K48" i="2"/>
  <c r="L48" i="2"/>
  <c r="C70" i="1"/>
  <c r="D70" i="1"/>
  <c r="E70" i="1"/>
  <c r="F70" i="1"/>
  <c r="G70" i="1"/>
  <c r="H70" i="1"/>
  <c r="I70" i="1"/>
  <c r="J70" i="1"/>
  <c r="K70" i="1"/>
  <c r="L70" i="1"/>
  <c r="M70" i="1"/>
  <c r="N70" i="1"/>
  <c r="O70" i="1"/>
  <c r="P70" i="1"/>
  <c r="Q70" i="1"/>
  <c r="R70" i="1"/>
  <c r="S70" i="1"/>
  <c r="T70" i="1"/>
  <c r="U70" i="1"/>
  <c r="I47" i="2"/>
  <c r="J47" i="2"/>
  <c r="K47" i="2"/>
  <c r="L47" i="2"/>
  <c r="C69" i="1"/>
  <c r="D69" i="1"/>
  <c r="E69" i="1"/>
  <c r="F69" i="1"/>
  <c r="G69" i="1"/>
  <c r="H69" i="1"/>
  <c r="I69" i="1"/>
  <c r="J69" i="1"/>
  <c r="K69" i="1"/>
  <c r="L69" i="1"/>
  <c r="M69" i="1"/>
  <c r="N69" i="1"/>
  <c r="O69" i="1"/>
  <c r="P69" i="1"/>
  <c r="Q69" i="1"/>
  <c r="R69" i="1"/>
  <c r="S69" i="1"/>
  <c r="T69" i="1"/>
  <c r="U69" i="1"/>
  <c r="I46" i="2"/>
  <c r="J46" i="2"/>
  <c r="K46" i="2"/>
  <c r="L46" i="2"/>
  <c r="C68" i="1"/>
  <c r="D68" i="1"/>
  <c r="E68" i="1"/>
  <c r="F68" i="1"/>
  <c r="G68" i="1"/>
  <c r="H68" i="1"/>
  <c r="I68" i="1"/>
  <c r="J68" i="1"/>
  <c r="K68" i="1"/>
  <c r="L68" i="1"/>
  <c r="M68" i="1"/>
  <c r="N68" i="1"/>
  <c r="O68" i="1"/>
  <c r="P68" i="1"/>
  <c r="Q68" i="1"/>
  <c r="R68" i="1"/>
  <c r="S68" i="1"/>
  <c r="T68" i="1"/>
  <c r="U68" i="1"/>
  <c r="I45" i="2"/>
  <c r="J45" i="2"/>
  <c r="K45" i="2"/>
  <c r="L45" i="2"/>
  <c r="C67" i="1"/>
  <c r="D67" i="1"/>
  <c r="E67" i="1"/>
  <c r="F67" i="1"/>
  <c r="G67" i="1"/>
  <c r="H67" i="1"/>
  <c r="I67" i="1"/>
  <c r="J67" i="1"/>
  <c r="K67" i="1"/>
  <c r="L67" i="1"/>
  <c r="M67" i="1"/>
  <c r="N67" i="1"/>
  <c r="O67" i="1"/>
  <c r="P67" i="1"/>
  <c r="Q67" i="1"/>
  <c r="R67" i="1"/>
  <c r="S67" i="1"/>
  <c r="T67" i="1"/>
  <c r="U67" i="1"/>
  <c r="I44" i="2"/>
  <c r="J44" i="2"/>
  <c r="K44" i="2"/>
  <c r="L44" i="2"/>
  <c r="C66" i="1"/>
  <c r="D66" i="1"/>
  <c r="E66" i="1"/>
  <c r="F66" i="1"/>
  <c r="G66" i="1"/>
  <c r="H66" i="1"/>
  <c r="I66" i="1"/>
  <c r="J66" i="1"/>
  <c r="K66" i="1"/>
  <c r="L66" i="1"/>
  <c r="M66" i="1"/>
  <c r="N66" i="1"/>
  <c r="O66" i="1"/>
  <c r="P66" i="1"/>
  <c r="Q66" i="1"/>
  <c r="R66" i="1"/>
  <c r="S66" i="1"/>
  <c r="T66" i="1"/>
  <c r="U66" i="1"/>
  <c r="I43" i="2"/>
  <c r="J43" i="2"/>
  <c r="K43" i="2"/>
  <c r="L43" i="2"/>
  <c r="C65" i="1"/>
  <c r="D65" i="1"/>
  <c r="E65" i="1"/>
  <c r="F65" i="1"/>
  <c r="G65" i="1"/>
  <c r="H65" i="1"/>
  <c r="I65" i="1"/>
  <c r="J65" i="1"/>
  <c r="K65" i="1"/>
  <c r="L65" i="1"/>
  <c r="M65" i="1"/>
  <c r="N65" i="1"/>
  <c r="O65" i="1"/>
  <c r="P65" i="1"/>
  <c r="Q65" i="1"/>
  <c r="R65" i="1"/>
  <c r="S65" i="1"/>
  <c r="T65" i="1"/>
  <c r="U65" i="1"/>
  <c r="I42" i="2"/>
  <c r="J42" i="2"/>
  <c r="K42" i="2"/>
  <c r="L42" i="2"/>
  <c r="C64" i="1"/>
  <c r="D64" i="1"/>
  <c r="E64" i="1"/>
  <c r="F64" i="1"/>
  <c r="G64" i="1"/>
  <c r="H64" i="1"/>
  <c r="I64" i="1"/>
  <c r="J64" i="1"/>
  <c r="K64" i="1"/>
  <c r="L64" i="1"/>
  <c r="M64" i="1"/>
  <c r="N64" i="1"/>
  <c r="O64" i="1"/>
  <c r="P64" i="1"/>
  <c r="Q64" i="1"/>
  <c r="R64" i="1"/>
  <c r="S64" i="1"/>
  <c r="T64" i="1"/>
  <c r="U64" i="1"/>
  <c r="I41" i="2"/>
  <c r="J41" i="2"/>
  <c r="K41" i="2"/>
  <c r="L41" i="2"/>
  <c r="C63" i="1"/>
  <c r="D63" i="1"/>
  <c r="E63" i="1"/>
  <c r="F63" i="1"/>
  <c r="G63" i="1"/>
  <c r="H63" i="1"/>
  <c r="I63" i="1"/>
  <c r="J63" i="1"/>
  <c r="K63" i="1"/>
  <c r="L63" i="1"/>
  <c r="M63" i="1"/>
  <c r="N63" i="1"/>
  <c r="O63" i="1"/>
  <c r="P63" i="1"/>
  <c r="Q63" i="1"/>
  <c r="R63" i="1"/>
  <c r="S63" i="1"/>
  <c r="T63" i="1"/>
  <c r="U63" i="1"/>
  <c r="I40" i="2"/>
  <c r="J40" i="2"/>
  <c r="K40" i="2"/>
  <c r="L40" i="2"/>
  <c r="C62" i="1"/>
  <c r="D62" i="1"/>
  <c r="E62" i="1"/>
  <c r="F62" i="1"/>
  <c r="G62" i="1"/>
  <c r="H62" i="1"/>
  <c r="I62" i="1"/>
  <c r="J62" i="1"/>
  <c r="K62" i="1"/>
  <c r="L62" i="1"/>
  <c r="M62" i="1"/>
  <c r="N62" i="1"/>
  <c r="O62" i="1"/>
  <c r="P62" i="1"/>
  <c r="Q62" i="1"/>
  <c r="R62" i="1"/>
  <c r="S62" i="1"/>
  <c r="T62" i="1"/>
  <c r="U62" i="1"/>
  <c r="I39" i="2"/>
  <c r="J39" i="2"/>
  <c r="K39" i="2"/>
  <c r="L39" i="2"/>
  <c r="C61" i="1"/>
  <c r="D61" i="1"/>
  <c r="E61" i="1"/>
  <c r="F61" i="1"/>
  <c r="G61" i="1"/>
  <c r="H61" i="1"/>
  <c r="I61" i="1"/>
  <c r="J61" i="1"/>
  <c r="K61" i="1"/>
  <c r="L61" i="1"/>
  <c r="M61" i="1"/>
  <c r="N61" i="1"/>
  <c r="O61" i="1"/>
  <c r="P61" i="1"/>
  <c r="Q61" i="1"/>
  <c r="R61" i="1"/>
  <c r="S61" i="1"/>
  <c r="T61" i="1"/>
  <c r="U61" i="1"/>
  <c r="I38" i="2"/>
  <c r="J38" i="2"/>
  <c r="K38" i="2"/>
  <c r="L38" i="2"/>
  <c r="C60" i="1"/>
  <c r="D60" i="1"/>
  <c r="E60" i="1"/>
  <c r="F60" i="1"/>
  <c r="G60" i="1"/>
  <c r="H60" i="1"/>
  <c r="I60" i="1"/>
  <c r="J60" i="1"/>
  <c r="K60" i="1"/>
  <c r="L60" i="1"/>
  <c r="M60" i="1"/>
  <c r="N60" i="1"/>
  <c r="O60" i="1"/>
  <c r="P60" i="1"/>
  <c r="Q60" i="1"/>
  <c r="R60" i="1"/>
  <c r="S60" i="1"/>
  <c r="T60" i="1"/>
  <c r="U60" i="1"/>
  <c r="I37" i="2"/>
  <c r="J37" i="2"/>
  <c r="K37" i="2"/>
  <c r="L37" i="2"/>
  <c r="C59" i="1"/>
  <c r="D59" i="1"/>
  <c r="E59" i="1"/>
  <c r="F59" i="1"/>
  <c r="G59" i="1"/>
  <c r="H59" i="1"/>
  <c r="I59" i="1"/>
  <c r="J59" i="1"/>
  <c r="K59" i="1"/>
  <c r="L59" i="1"/>
  <c r="M59" i="1"/>
  <c r="N59" i="1"/>
  <c r="O59" i="1"/>
  <c r="P59" i="1"/>
  <c r="Q59" i="1"/>
  <c r="R59" i="1"/>
  <c r="S59" i="1"/>
  <c r="T59" i="1"/>
  <c r="U59" i="1"/>
  <c r="I36" i="2"/>
  <c r="J36" i="2"/>
  <c r="K36" i="2"/>
  <c r="L36" i="2"/>
  <c r="C58" i="1"/>
  <c r="D58" i="1"/>
  <c r="E58" i="1"/>
  <c r="F58" i="1"/>
  <c r="G58" i="1"/>
  <c r="H58" i="1"/>
  <c r="I58" i="1"/>
  <c r="J58" i="1"/>
  <c r="K58" i="1"/>
  <c r="L58" i="1"/>
  <c r="M58" i="1"/>
  <c r="N58" i="1"/>
  <c r="O58" i="1"/>
  <c r="P58" i="1"/>
  <c r="Q58" i="1"/>
  <c r="R58" i="1"/>
  <c r="S58" i="1"/>
  <c r="T58" i="1"/>
  <c r="U58" i="1"/>
  <c r="I35" i="2"/>
  <c r="J35" i="2"/>
  <c r="K35" i="2"/>
  <c r="L35" i="2"/>
  <c r="C57" i="1"/>
  <c r="D57" i="1"/>
  <c r="E57" i="1"/>
  <c r="F57" i="1"/>
  <c r="G57" i="1"/>
  <c r="H57" i="1"/>
  <c r="I57" i="1"/>
  <c r="J57" i="1"/>
  <c r="K57" i="1"/>
  <c r="L57" i="1"/>
  <c r="M57" i="1"/>
  <c r="N57" i="1"/>
  <c r="O57" i="1"/>
  <c r="P57" i="1"/>
  <c r="Q57" i="1"/>
  <c r="R57" i="1"/>
  <c r="S57" i="1"/>
  <c r="T57" i="1"/>
  <c r="U57" i="1"/>
  <c r="I34" i="2"/>
  <c r="J34" i="2"/>
  <c r="K34" i="2"/>
  <c r="L34" i="2"/>
  <c r="C56" i="1"/>
  <c r="D56" i="1"/>
  <c r="E56" i="1"/>
  <c r="F56" i="1"/>
  <c r="G56" i="1"/>
  <c r="H56" i="1"/>
  <c r="I56" i="1"/>
  <c r="J56" i="1"/>
  <c r="K56" i="1"/>
  <c r="L56" i="1"/>
  <c r="M56" i="1"/>
  <c r="N56" i="1"/>
  <c r="O56" i="1"/>
  <c r="P56" i="1"/>
  <c r="Q56" i="1"/>
  <c r="R56" i="1"/>
  <c r="S56" i="1"/>
  <c r="T56" i="1"/>
  <c r="U56" i="1"/>
  <c r="I33" i="2"/>
  <c r="J33" i="2"/>
  <c r="K33" i="2"/>
  <c r="L33" i="2"/>
  <c r="C55" i="1"/>
  <c r="D55" i="1"/>
  <c r="E55" i="1"/>
  <c r="F55" i="1"/>
  <c r="G55" i="1"/>
  <c r="H55" i="1"/>
  <c r="I55" i="1"/>
  <c r="J55" i="1"/>
  <c r="K55" i="1"/>
  <c r="L55" i="1"/>
  <c r="M55" i="1"/>
  <c r="N55" i="1"/>
  <c r="O55" i="1"/>
  <c r="P55" i="1"/>
  <c r="Q55" i="1"/>
  <c r="R55" i="1"/>
  <c r="S55" i="1"/>
  <c r="T55" i="1"/>
  <c r="U55" i="1"/>
  <c r="I32" i="2"/>
  <c r="J32" i="2"/>
  <c r="K32" i="2"/>
  <c r="L32" i="2"/>
  <c r="C54" i="1"/>
  <c r="D54" i="1"/>
  <c r="E54" i="1"/>
  <c r="F54" i="1"/>
  <c r="G54" i="1"/>
  <c r="H54" i="1"/>
  <c r="I54" i="1"/>
  <c r="J54" i="1"/>
  <c r="K54" i="1"/>
  <c r="L54" i="1"/>
  <c r="M54" i="1"/>
  <c r="N54" i="1"/>
  <c r="O54" i="1"/>
  <c r="P54" i="1"/>
  <c r="Q54" i="1"/>
  <c r="R54" i="1"/>
  <c r="S54" i="1"/>
  <c r="T54" i="1"/>
  <c r="U54" i="1"/>
  <c r="I31" i="2"/>
  <c r="J31" i="2"/>
  <c r="K31" i="2"/>
  <c r="L31" i="2"/>
  <c r="C53" i="1"/>
  <c r="D53" i="1"/>
  <c r="E53" i="1"/>
  <c r="F53" i="1"/>
  <c r="G53" i="1"/>
  <c r="H53" i="1"/>
  <c r="I53" i="1"/>
  <c r="J53" i="1"/>
  <c r="K53" i="1"/>
  <c r="L53" i="1"/>
  <c r="M53" i="1"/>
  <c r="N53" i="1"/>
  <c r="O53" i="1"/>
  <c r="P53" i="1"/>
  <c r="Q53" i="1"/>
  <c r="R53" i="1"/>
  <c r="S53" i="1"/>
  <c r="T53" i="1"/>
  <c r="U53" i="1"/>
  <c r="I30" i="2"/>
  <c r="J30" i="2"/>
  <c r="K30" i="2"/>
  <c r="L30" i="2"/>
  <c r="C52" i="1"/>
  <c r="D52" i="1"/>
  <c r="E52" i="1"/>
  <c r="F52" i="1"/>
  <c r="G52" i="1"/>
  <c r="H52" i="1"/>
  <c r="I52" i="1"/>
  <c r="J52" i="1"/>
  <c r="K52" i="1"/>
  <c r="L52" i="1"/>
  <c r="M52" i="1"/>
  <c r="N52" i="1"/>
  <c r="O52" i="1"/>
  <c r="P52" i="1"/>
  <c r="Q52" i="1"/>
  <c r="R52" i="1"/>
  <c r="S52" i="1"/>
  <c r="T52" i="1"/>
  <c r="U52" i="1"/>
  <c r="I29" i="2"/>
  <c r="J29" i="2"/>
  <c r="K29" i="2"/>
  <c r="L29" i="2"/>
  <c r="C51" i="1"/>
  <c r="D51" i="1"/>
  <c r="E51" i="1"/>
  <c r="F51" i="1"/>
  <c r="G51" i="1"/>
  <c r="H51" i="1"/>
  <c r="I51" i="1"/>
  <c r="J51" i="1"/>
  <c r="K51" i="1"/>
  <c r="L51" i="1"/>
  <c r="M51" i="1"/>
  <c r="N51" i="1"/>
  <c r="O51" i="1"/>
  <c r="P51" i="1"/>
  <c r="Q51" i="1"/>
  <c r="R51" i="1"/>
  <c r="S51" i="1"/>
  <c r="T51" i="1"/>
  <c r="U51" i="1"/>
  <c r="I28" i="2"/>
  <c r="J28" i="2"/>
  <c r="K28" i="2"/>
  <c r="L28" i="2"/>
  <c r="C50" i="1"/>
  <c r="D50" i="1"/>
  <c r="E50" i="1"/>
  <c r="F50" i="1"/>
  <c r="G50" i="1"/>
  <c r="H50" i="1"/>
  <c r="I50" i="1"/>
  <c r="J50" i="1"/>
  <c r="K50" i="1"/>
  <c r="L50" i="1"/>
  <c r="M50" i="1"/>
  <c r="N50" i="1"/>
  <c r="O50" i="1"/>
  <c r="P50" i="1"/>
  <c r="Q50" i="1"/>
  <c r="R50" i="1"/>
  <c r="S50" i="1"/>
  <c r="T50" i="1"/>
  <c r="U50" i="1"/>
  <c r="I27" i="2"/>
  <c r="J27" i="2"/>
  <c r="K27" i="2"/>
  <c r="L27" i="2"/>
  <c r="C49" i="1"/>
  <c r="D49" i="1"/>
  <c r="E49" i="1"/>
  <c r="F49" i="1"/>
  <c r="G49" i="1"/>
  <c r="H49" i="1"/>
  <c r="I49" i="1"/>
  <c r="J49" i="1"/>
  <c r="K49" i="1"/>
  <c r="L49" i="1"/>
  <c r="M49" i="1"/>
  <c r="N49" i="1"/>
  <c r="O49" i="1"/>
  <c r="P49" i="1"/>
  <c r="Q49" i="1"/>
  <c r="R49" i="1"/>
  <c r="S49" i="1"/>
  <c r="T49" i="1"/>
  <c r="U49" i="1"/>
  <c r="I26" i="2"/>
  <c r="J26" i="2"/>
  <c r="K26" i="2"/>
  <c r="L26" i="2"/>
  <c r="C48" i="1"/>
  <c r="D48" i="1"/>
  <c r="E48" i="1"/>
  <c r="F48" i="1"/>
  <c r="G48" i="1"/>
  <c r="H48" i="1"/>
  <c r="I48" i="1"/>
  <c r="J48" i="1"/>
  <c r="K48" i="1"/>
  <c r="L48" i="1"/>
  <c r="M48" i="1"/>
  <c r="N48" i="1"/>
  <c r="O48" i="1"/>
  <c r="P48" i="1"/>
  <c r="Q48" i="1"/>
  <c r="R48" i="1"/>
  <c r="S48" i="1"/>
  <c r="T48" i="1"/>
  <c r="U48" i="1"/>
  <c r="I25" i="2"/>
  <c r="J25" i="2"/>
  <c r="K25" i="2"/>
  <c r="L25" i="2"/>
  <c r="C47" i="1"/>
  <c r="D47" i="1"/>
  <c r="E47" i="1"/>
  <c r="F47" i="1"/>
  <c r="G47" i="1"/>
  <c r="H47" i="1"/>
  <c r="I47" i="1"/>
  <c r="J47" i="1"/>
  <c r="K47" i="1"/>
  <c r="L47" i="1"/>
  <c r="M47" i="1"/>
  <c r="N47" i="1"/>
  <c r="O47" i="1"/>
  <c r="P47" i="1"/>
  <c r="Q47" i="1"/>
  <c r="R47" i="1"/>
  <c r="S47" i="1"/>
  <c r="T47" i="1"/>
  <c r="U47" i="1"/>
  <c r="I24" i="2"/>
  <c r="J24" i="2"/>
  <c r="K24" i="2"/>
  <c r="L24" i="2"/>
  <c r="C46" i="1"/>
  <c r="D46" i="1"/>
  <c r="E46" i="1"/>
  <c r="F46" i="1"/>
  <c r="G46" i="1"/>
  <c r="H46" i="1"/>
  <c r="I46" i="1"/>
  <c r="J46" i="1"/>
  <c r="K46" i="1"/>
  <c r="L46" i="1"/>
  <c r="M46" i="1"/>
  <c r="N46" i="1"/>
  <c r="O46" i="1"/>
  <c r="P46" i="1"/>
  <c r="Q46" i="1"/>
  <c r="R46" i="1"/>
  <c r="S46" i="1"/>
  <c r="T46" i="1"/>
  <c r="U46" i="1"/>
  <c r="I23" i="2"/>
  <c r="J23" i="2"/>
  <c r="K23" i="2"/>
  <c r="L23" i="2"/>
  <c r="C45" i="1"/>
  <c r="D45" i="1"/>
  <c r="E45" i="1"/>
  <c r="F45" i="1"/>
  <c r="G45" i="1"/>
  <c r="H45" i="1"/>
  <c r="I45" i="1"/>
  <c r="J45" i="1"/>
  <c r="K45" i="1"/>
  <c r="L45" i="1"/>
  <c r="M45" i="1"/>
  <c r="N45" i="1"/>
  <c r="O45" i="1"/>
  <c r="P45" i="1"/>
  <c r="Q45" i="1"/>
  <c r="R45" i="1"/>
  <c r="S45" i="1"/>
  <c r="T45" i="1"/>
  <c r="U45" i="1"/>
  <c r="I22" i="2"/>
  <c r="J22" i="2"/>
  <c r="K22" i="2"/>
  <c r="L22" i="2"/>
  <c r="C44" i="1"/>
  <c r="D44" i="1"/>
  <c r="E44" i="1"/>
  <c r="F44" i="1"/>
  <c r="G44" i="1"/>
  <c r="H44" i="1"/>
  <c r="I44" i="1"/>
  <c r="J44" i="1"/>
  <c r="K44" i="1"/>
  <c r="L44" i="1"/>
  <c r="M44" i="1"/>
  <c r="N44" i="1"/>
  <c r="O44" i="1"/>
  <c r="P44" i="1"/>
  <c r="Q44" i="1"/>
  <c r="R44" i="1"/>
  <c r="S44" i="1"/>
  <c r="T44" i="1"/>
  <c r="U44" i="1"/>
  <c r="I21" i="2"/>
  <c r="J21" i="2"/>
  <c r="K21" i="2"/>
  <c r="L21" i="2"/>
  <c r="C43" i="1"/>
  <c r="D43" i="1"/>
  <c r="E43" i="1"/>
  <c r="F43" i="1"/>
  <c r="G43" i="1"/>
  <c r="H43" i="1"/>
  <c r="I43" i="1"/>
  <c r="J43" i="1"/>
  <c r="K43" i="1"/>
  <c r="L43" i="1"/>
  <c r="M43" i="1"/>
  <c r="N43" i="1"/>
  <c r="O43" i="1"/>
  <c r="P43" i="1"/>
  <c r="Q43" i="1"/>
  <c r="R43" i="1"/>
  <c r="S43" i="1"/>
  <c r="T43" i="1"/>
  <c r="U43" i="1"/>
  <c r="I20" i="2"/>
  <c r="J20" i="2"/>
  <c r="K20" i="2"/>
  <c r="L20" i="2"/>
  <c r="C42" i="1"/>
  <c r="D42" i="1"/>
  <c r="E42" i="1"/>
  <c r="F42" i="1"/>
  <c r="G42" i="1"/>
  <c r="H42" i="1"/>
  <c r="I42" i="1"/>
  <c r="J42" i="1"/>
  <c r="K42" i="1"/>
  <c r="L42" i="1"/>
  <c r="M42" i="1"/>
  <c r="N42" i="1"/>
  <c r="O42" i="1"/>
  <c r="P42" i="1"/>
  <c r="Q42" i="1"/>
  <c r="R42" i="1"/>
  <c r="S42" i="1"/>
  <c r="T42" i="1"/>
  <c r="U42" i="1"/>
  <c r="I19" i="2"/>
  <c r="J19" i="2"/>
  <c r="K19" i="2"/>
  <c r="L19" i="2"/>
  <c r="C41" i="1"/>
  <c r="D41" i="1"/>
  <c r="E41" i="1"/>
  <c r="F41" i="1"/>
  <c r="G41" i="1"/>
  <c r="H41" i="1"/>
  <c r="I41" i="1"/>
  <c r="J41" i="1"/>
  <c r="K41" i="1"/>
  <c r="L41" i="1"/>
  <c r="M41" i="1"/>
  <c r="N41" i="1"/>
  <c r="O41" i="1"/>
  <c r="P41" i="1"/>
  <c r="Q41" i="1"/>
  <c r="R41" i="1"/>
  <c r="S41" i="1"/>
  <c r="T41" i="1"/>
  <c r="U41" i="1"/>
  <c r="I18" i="2"/>
  <c r="J18" i="2"/>
  <c r="K18" i="2"/>
  <c r="L18" i="2"/>
  <c r="C40" i="1"/>
  <c r="D40" i="1"/>
  <c r="E40" i="1"/>
  <c r="F40" i="1"/>
  <c r="G40" i="1"/>
  <c r="H40" i="1"/>
  <c r="I40" i="1"/>
  <c r="J40" i="1"/>
  <c r="K40" i="1"/>
  <c r="L40" i="1"/>
  <c r="M40" i="1"/>
  <c r="N40" i="1"/>
  <c r="O40" i="1"/>
  <c r="P40" i="1"/>
  <c r="Q40" i="1"/>
  <c r="R40" i="1"/>
  <c r="S40" i="1"/>
  <c r="T40" i="1"/>
  <c r="U40" i="1"/>
  <c r="I17" i="2"/>
  <c r="J17" i="2"/>
  <c r="K17" i="2"/>
  <c r="L17" i="2"/>
  <c r="C39" i="1"/>
  <c r="D39" i="1"/>
  <c r="E39" i="1"/>
  <c r="F39" i="1"/>
  <c r="G39" i="1"/>
  <c r="H39" i="1"/>
  <c r="I39" i="1"/>
  <c r="J39" i="1"/>
  <c r="K39" i="1"/>
  <c r="L39" i="1"/>
  <c r="M39" i="1"/>
  <c r="N39" i="1"/>
  <c r="O39" i="1"/>
  <c r="P39" i="1"/>
  <c r="Q39" i="1"/>
  <c r="R39" i="1"/>
  <c r="S39" i="1"/>
  <c r="T39" i="1"/>
  <c r="U39" i="1"/>
  <c r="I16" i="2"/>
  <c r="J16" i="2"/>
  <c r="K16" i="2"/>
  <c r="L16" i="2"/>
  <c r="C38" i="1"/>
  <c r="D38" i="1"/>
  <c r="E38" i="1"/>
  <c r="F38" i="1"/>
  <c r="G38" i="1"/>
  <c r="H38" i="1"/>
  <c r="I38" i="1"/>
  <c r="J38" i="1"/>
  <c r="K38" i="1"/>
  <c r="L38" i="1"/>
  <c r="M38" i="1"/>
  <c r="N38" i="1"/>
  <c r="O38" i="1"/>
  <c r="P38" i="1"/>
  <c r="Q38" i="1"/>
  <c r="R38" i="1"/>
  <c r="S38" i="1"/>
  <c r="T38" i="1"/>
  <c r="U38" i="1"/>
  <c r="I15" i="2"/>
  <c r="J15" i="2"/>
  <c r="K15" i="2"/>
  <c r="L15" i="2"/>
  <c r="C37" i="1"/>
  <c r="D37" i="1"/>
  <c r="E37" i="1"/>
  <c r="F37" i="1"/>
  <c r="G37" i="1"/>
  <c r="H37" i="1"/>
  <c r="I37" i="1"/>
  <c r="J37" i="1"/>
  <c r="K37" i="1"/>
  <c r="L37" i="1"/>
  <c r="M37" i="1"/>
  <c r="N37" i="1"/>
  <c r="O37" i="1"/>
  <c r="P37" i="1"/>
  <c r="Q37" i="1"/>
  <c r="R37" i="1"/>
  <c r="S37" i="1"/>
  <c r="T37" i="1"/>
  <c r="U37" i="1"/>
  <c r="I14" i="2"/>
  <c r="J14" i="2"/>
  <c r="K14" i="2"/>
  <c r="L14" i="2"/>
  <c r="C36" i="1"/>
  <c r="D36" i="1"/>
  <c r="E36" i="1"/>
  <c r="F36" i="1"/>
  <c r="G36" i="1"/>
  <c r="H36" i="1"/>
  <c r="I36" i="1"/>
  <c r="J36" i="1"/>
  <c r="K36" i="1"/>
  <c r="L36" i="1"/>
  <c r="M36" i="1"/>
  <c r="N36" i="1"/>
  <c r="O36" i="1"/>
  <c r="P36" i="1"/>
  <c r="Q36" i="1"/>
  <c r="R36" i="1"/>
  <c r="S36" i="1"/>
  <c r="T36" i="1"/>
  <c r="U36" i="1"/>
  <c r="I13" i="2"/>
  <c r="J13" i="2"/>
  <c r="K13" i="2"/>
  <c r="L13" i="2"/>
  <c r="C35" i="1"/>
  <c r="D35" i="1"/>
  <c r="E35" i="1"/>
  <c r="F35" i="1"/>
  <c r="G35" i="1"/>
  <c r="H35" i="1"/>
  <c r="I35" i="1"/>
  <c r="J35" i="1"/>
  <c r="K35" i="1"/>
  <c r="L35" i="1"/>
  <c r="M35" i="1"/>
  <c r="N35" i="1"/>
  <c r="O35" i="1"/>
  <c r="P35" i="1"/>
  <c r="Q35" i="1"/>
  <c r="R35" i="1"/>
  <c r="S35" i="1"/>
  <c r="T35" i="1"/>
  <c r="U35" i="1"/>
  <c r="I12" i="2"/>
  <c r="J12" i="2"/>
  <c r="K12" i="2"/>
  <c r="L12" i="2"/>
  <c r="C34" i="1"/>
  <c r="D34" i="1"/>
  <c r="E34" i="1"/>
  <c r="F34" i="1"/>
  <c r="G34" i="1"/>
  <c r="H34" i="1"/>
  <c r="I34" i="1"/>
  <c r="J34" i="1"/>
  <c r="K34" i="1"/>
  <c r="L34" i="1"/>
  <c r="M34" i="1"/>
  <c r="N34" i="1"/>
  <c r="O34" i="1"/>
  <c r="P34" i="1"/>
  <c r="Q34" i="1"/>
  <c r="R34" i="1"/>
  <c r="S34" i="1"/>
  <c r="T34" i="1"/>
  <c r="U34" i="1"/>
  <c r="I11" i="2"/>
  <c r="J11" i="2"/>
  <c r="K11" i="2"/>
  <c r="L11" i="2"/>
  <c r="C33" i="1"/>
  <c r="D33" i="1"/>
  <c r="E33" i="1"/>
  <c r="F33" i="1"/>
  <c r="G33" i="1"/>
  <c r="H33" i="1"/>
  <c r="I33" i="1"/>
  <c r="J33" i="1"/>
  <c r="K33" i="1"/>
  <c r="L33" i="1"/>
  <c r="M33" i="1"/>
  <c r="N33" i="1"/>
  <c r="O33" i="1"/>
  <c r="P33" i="1"/>
  <c r="Q33" i="1"/>
  <c r="R33" i="1"/>
  <c r="S33" i="1"/>
  <c r="T33" i="1"/>
  <c r="U33" i="1"/>
  <c r="I10" i="2"/>
  <c r="J10" i="2"/>
  <c r="K10" i="2"/>
  <c r="L10" i="2"/>
  <c r="C32" i="1"/>
  <c r="D32" i="1"/>
  <c r="E32" i="1"/>
  <c r="F32" i="1"/>
  <c r="G32" i="1"/>
  <c r="H32" i="1"/>
  <c r="I32" i="1"/>
  <c r="J32" i="1"/>
  <c r="K32" i="1"/>
  <c r="L32" i="1"/>
  <c r="M32" i="1"/>
  <c r="N32" i="1"/>
  <c r="O32" i="1"/>
  <c r="P32" i="1"/>
  <c r="Q32" i="1"/>
  <c r="R32" i="1"/>
  <c r="S32" i="1"/>
  <c r="T32" i="1"/>
  <c r="U32" i="1"/>
  <c r="I9" i="2"/>
  <c r="J9" i="2"/>
  <c r="K9" i="2"/>
  <c r="L9" i="2"/>
  <c r="C31" i="1"/>
  <c r="D31" i="1"/>
  <c r="E31" i="1"/>
  <c r="F31" i="1"/>
  <c r="G31" i="1"/>
  <c r="H31" i="1"/>
  <c r="I31" i="1"/>
  <c r="J31" i="1"/>
  <c r="K31" i="1"/>
  <c r="L31" i="1"/>
  <c r="M31" i="1"/>
  <c r="N31" i="1"/>
  <c r="O31" i="1"/>
  <c r="P31" i="1"/>
  <c r="Q31" i="1"/>
  <c r="R31" i="1"/>
  <c r="S31" i="1"/>
  <c r="T31" i="1"/>
  <c r="U31" i="1"/>
  <c r="I8" i="2"/>
  <c r="J8" i="2"/>
  <c r="K8" i="2"/>
  <c r="L8" i="2"/>
  <c r="C30" i="1"/>
  <c r="D30" i="1"/>
  <c r="E30" i="1"/>
  <c r="F30" i="1"/>
  <c r="G30" i="1"/>
  <c r="H30" i="1"/>
  <c r="I30" i="1"/>
  <c r="J30" i="1"/>
  <c r="K30" i="1"/>
  <c r="L30" i="1"/>
  <c r="M30" i="1"/>
  <c r="N30" i="1"/>
  <c r="O30" i="1"/>
  <c r="P30" i="1"/>
  <c r="Q30" i="1"/>
  <c r="R30" i="1"/>
  <c r="S30" i="1"/>
  <c r="T30" i="1"/>
  <c r="U30" i="1"/>
  <c r="I7" i="2"/>
  <c r="J7" i="2"/>
  <c r="K7" i="2"/>
  <c r="L7" i="2"/>
  <c r="C29" i="1"/>
  <c r="D29" i="1"/>
  <c r="E29" i="1"/>
  <c r="F29" i="1"/>
  <c r="G29" i="1"/>
  <c r="H29" i="1"/>
  <c r="I29" i="1"/>
  <c r="J29" i="1"/>
  <c r="K29" i="1"/>
  <c r="L29" i="1"/>
  <c r="M29" i="1"/>
  <c r="N29" i="1"/>
  <c r="O29" i="1"/>
  <c r="P29" i="1"/>
  <c r="Q29" i="1"/>
  <c r="R29" i="1"/>
  <c r="S29" i="1"/>
  <c r="T29" i="1"/>
  <c r="U29" i="1"/>
  <c r="I6" i="2"/>
  <c r="J6" i="2"/>
  <c r="K6" i="2"/>
  <c r="L6" i="2"/>
  <c r="C28" i="1"/>
  <c r="D28" i="1"/>
  <c r="E28" i="1"/>
  <c r="F28" i="1"/>
  <c r="G28" i="1"/>
  <c r="H28" i="1"/>
  <c r="I28" i="1"/>
  <c r="J28" i="1"/>
  <c r="K28" i="1"/>
  <c r="L28" i="1"/>
  <c r="M28" i="1"/>
  <c r="N28" i="1"/>
  <c r="O28" i="1"/>
  <c r="P28" i="1"/>
  <c r="Q28" i="1"/>
  <c r="R28" i="1"/>
  <c r="S28" i="1"/>
  <c r="T28" i="1"/>
  <c r="U28" i="1"/>
  <c r="I5" i="2"/>
  <c r="J5" i="2"/>
  <c r="K5" i="2"/>
  <c r="L5" i="2"/>
  <c r="C27" i="1"/>
  <c r="D27" i="1"/>
  <c r="E27" i="1"/>
  <c r="F27" i="1"/>
  <c r="G27" i="1"/>
  <c r="H27" i="1"/>
  <c r="I27" i="1"/>
  <c r="J27" i="1"/>
  <c r="K27" i="1"/>
  <c r="L27" i="1"/>
  <c r="M27" i="1"/>
  <c r="N27" i="1"/>
  <c r="O27" i="1"/>
  <c r="P27" i="1"/>
  <c r="Q27" i="1"/>
  <c r="R27" i="1"/>
  <c r="S27" i="1"/>
  <c r="T27" i="1"/>
  <c r="U27" i="1"/>
  <c r="I4" i="2"/>
  <c r="J4" i="2"/>
  <c r="K4" i="2"/>
  <c r="L4"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F59" i="2"/>
  <c r="F58" i="2"/>
  <c r="F57" i="2"/>
  <c r="F56" i="2"/>
  <c r="F55" i="2"/>
  <c r="F54" i="2"/>
  <c r="F53" i="2"/>
  <c r="F52"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7" i="2"/>
  <c r="F6" i="2"/>
  <c r="F5" i="2"/>
  <c r="F4"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V496" i="1"/>
  <c r="W496" i="1"/>
  <c r="X496" i="1"/>
  <c r="Y496" i="1"/>
  <c r="Z496" i="1"/>
  <c r="AA496" i="1"/>
  <c r="AB496" i="1"/>
  <c r="AC496" i="1"/>
  <c r="AD496" i="1"/>
  <c r="AE496" i="1"/>
  <c r="AF496" i="1"/>
  <c r="AG496" i="1"/>
  <c r="AH496" i="1"/>
  <c r="AI496" i="1"/>
  <c r="AJ496" i="1"/>
  <c r="AK496" i="1"/>
  <c r="AL496" i="1"/>
  <c r="AM496" i="1"/>
  <c r="AQ496" i="1"/>
  <c r="D59" i="2"/>
  <c r="V495" i="1"/>
  <c r="W495" i="1"/>
  <c r="X495" i="1"/>
  <c r="Y495" i="1"/>
  <c r="Z495" i="1"/>
  <c r="AA495" i="1"/>
  <c r="AB495" i="1"/>
  <c r="AC495" i="1"/>
  <c r="AD495" i="1"/>
  <c r="AE495" i="1"/>
  <c r="AF495" i="1"/>
  <c r="AG495" i="1"/>
  <c r="AH495" i="1"/>
  <c r="AI495" i="1"/>
  <c r="AJ495" i="1"/>
  <c r="AK495" i="1"/>
  <c r="AL495" i="1"/>
  <c r="AM495" i="1"/>
  <c r="AQ495" i="1"/>
  <c r="D58" i="2"/>
  <c r="V494" i="1"/>
  <c r="W494" i="1"/>
  <c r="X494" i="1"/>
  <c r="Y494" i="1"/>
  <c r="Z494" i="1"/>
  <c r="AA494" i="1"/>
  <c r="AB494" i="1"/>
  <c r="AC494" i="1"/>
  <c r="AD494" i="1"/>
  <c r="AE494" i="1"/>
  <c r="AF494" i="1"/>
  <c r="AG494" i="1"/>
  <c r="AH494" i="1"/>
  <c r="AI494" i="1"/>
  <c r="AJ494" i="1"/>
  <c r="AK494" i="1"/>
  <c r="AL494" i="1"/>
  <c r="AM494" i="1"/>
  <c r="AQ494" i="1"/>
  <c r="D57" i="2"/>
  <c r="V493" i="1"/>
  <c r="W493" i="1"/>
  <c r="X493" i="1"/>
  <c r="Y493" i="1"/>
  <c r="Z493" i="1"/>
  <c r="AA493" i="1"/>
  <c r="AB493" i="1"/>
  <c r="AC493" i="1"/>
  <c r="AD493" i="1"/>
  <c r="AE493" i="1"/>
  <c r="AF493" i="1"/>
  <c r="AG493" i="1"/>
  <c r="AH493" i="1"/>
  <c r="AI493" i="1"/>
  <c r="AJ493" i="1"/>
  <c r="AK493" i="1"/>
  <c r="AL493" i="1"/>
  <c r="AM493" i="1"/>
  <c r="AQ493" i="1"/>
  <c r="D56" i="2"/>
  <c r="V492" i="1"/>
  <c r="W492" i="1"/>
  <c r="X492" i="1"/>
  <c r="Y492" i="1"/>
  <c r="Z492" i="1"/>
  <c r="AA492" i="1"/>
  <c r="AB492" i="1"/>
  <c r="AC492" i="1"/>
  <c r="AD492" i="1"/>
  <c r="AE492" i="1"/>
  <c r="AF492" i="1"/>
  <c r="AG492" i="1"/>
  <c r="AH492" i="1"/>
  <c r="AI492" i="1"/>
  <c r="AJ492" i="1"/>
  <c r="AK492" i="1"/>
  <c r="AL492" i="1"/>
  <c r="AM492" i="1"/>
  <c r="AQ492" i="1"/>
  <c r="D55" i="2"/>
  <c r="V491" i="1"/>
  <c r="W491" i="1"/>
  <c r="X491" i="1"/>
  <c r="Y491" i="1"/>
  <c r="Z491" i="1"/>
  <c r="AA491" i="1"/>
  <c r="AB491" i="1"/>
  <c r="AC491" i="1"/>
  <c r="AD491" i="1"/>
  <c r="AE491" i="1"/>
  <c r="AF491" i="1"/>
  <c r="AG491" i="1"/>
  <c r="AH491" i="1"/>
  <c r="AI491" i="1"/>
  <c r="AJ491" i="1"/>
  <c r="AK491" i="1"/>
  <c r="AL491" i="1"/>
  <c r="AM491" i="1"/>
  <c r="AQ491" i="1"/>
  <c r="D54" i="2"/>
  <c r="V490" i="1"/>
  <c r="W490" i="1"/>
  <c r="X490" i="1"/>
  <c r="Y490" i="1"/>
  <c r="Z490" i="1"/>
  <c r="AA490" i="1"/>
  <c r="AB490" i="1"/>
  <c r="AC490" i="1"/>
  <c r="AD490" i="1"/>
  <c r="AE490" i="1"/>
  <c r="AF490" i="1"/>
  <c r="AG490" i="1"/>
  <c r="AH490" i="1"/>
  <c r="AI490" i="1"/>
  <c r="AJ490" i="1"/>
  <c r="AK490" i="1"/>
  <c r="AL490" i="1"/>
  <c r="AM490" i="1"/>
  <c r="AQ490" i="1"/>
  <c r="D53" i="2"/>
  <c r="V489" i="1"/>
  <c r="W489" i="1"/>
  <c r="X489" i="1"/>
  <c r="Y489" i="1"/>
  <c r="Z489" i="1"/>
  <c r="AA489" i="1"/>
  <c r="AB489" i="1"/>
  <c r="AC489" i="1"/>
  <c r="AD489" i="1"/>
  <c r="AE489" i="1"/>
  <c r="AF489" i="1"/>
  <c r="AG489" i="1"/>
  <c r="AH489" i="1"/>
  <c r="AI489" i="1"/>
  <c r="AJ489" i="1"/>
  <c r="AK489" i="1"/>
  <c r="AL489" i="1"/>
  <c r="AM489" i="1"/>
  <c r="AQ489" i="1"/>
  <c r="D52" i="2"/>
  <c r="V488" i="1"/>
  <c r="W488" i="1"/>
  <c r="X488" i="1"/>
  <c r="Y488" i="1"/>
  <c r="Z488" i="1"/>
  <c r="AA488" i="1"/>
  <c r="AB488" i="1"/>
  <c r="AC488" i="1"/>
  <c r="AD488" i="1"/>
  <c r="AE488" i="1"/>
  <c r="AF488" i="1"/>
  <c r="AG488" i="1"/>
  <c r="AH488" i="1"/>
  <c r="AI488" i="1"/>
  <c r="AJ488" i="1"/>
  <c r="AK488" i="1"/>
  <c r="AL488" i="1"/>
  <c r="AM488" i="1"/>
  <c r="AQ488" i="1"/>
  <c r="D51" i="2"/>
  <c r="V487" i="1"/>
  <c r="W487" i="1"/>
  <c r="X487" i="1"/>
  <c r="Y487" i="1"/>
  <c r="Z487" i="1"/>
  <c r="AA487" i="1"/>
  <c r="AB487" i="1"/>
  <c r="AC487" i="1"/>
  <c r="AD487" i="1"/>
  <c r="AE487" i="1"/>
  <c r="AF487" i="1"/>
  <c r="AG487" i="1"/>
  <c r="AH487" i="1"/>
  <c r="AI487" i="1"/>
  <c r="AJ487" i="1"/>
  <c r="AK487" i="1"/>
  <c r="AL487" i="1"/>
  <c r="AM487" i="1"/>
  <c r="AQ487" i="1"/>
  <c r="D50" i="2"/>
  <c r="V486" i="1"/>
  <c r="W486" i="1"/>
  <c r="X486" i="1"/>
  <c r="Y486" i="1"/>
  <c r="Z486" i="1"/>
  <c r="AA486" i="1"/>
  <c r="AB486" i="1"/>
  <c r="AC486" i="1"/>
  <c r="AD486" i="1"/>
  <c r="AE486" i="1"/>
  <c r="AF486" i="1"/>
  <c r="AG486" i="1"/>
  <c r="AH486" i="1"/>
  <c r="AI486" i="1"/>
  <c r="AJ486" i="1"/>
  <c r="AK486" i="1"/>
  <c r="AL486" i="1"/>
  <c r="AM486" i="1"/>
  <c r="AQ486" i="1"/>
  <c r="D49" i="2"/>
  <c r="V485" i="1"/>
  <c r="W485" i="1"/>
  <c r="X485" i="1"/>
  <c r="Y485" i="1"/>
  <c r="Z485" i="1"/>
  <c r="AA485" i="1"/>
  <c r="AB485" i="1"/>
  <c r="AC485" i="1"/>
  <c r="AD485" i="1"/>
  <c r="AE485" i="1"/>
  <c r="AF485" i="1"/>
  <c r="AG485" i="1"/>
  <c r="AH485" i="1"/>
  <c r="AI485" i="1"/>
  <c r="AJ485" i="1"/>
  <c r="AK485" i="1"/>
  <c r="AL485" i="1"/>
  <c r="AM485" i="1"/>
  <c r="AQ485" i="1"/>
  <c r="D48" i="2"/>
  <c r="V484" i="1"/>
  <c r="W484" i="1"/>
  <c r="X484" i="1"/>
  <c r="Y484" i="1"/>
  <c r="Z484" i="1"/>
  <c r="AA484" i="1"/>
  <c r="AB484" i="1"/>
  <c r="AC484" i="1"/>
  <c r="AD484" i="1"/>
  <c r="AE484" i="1"/>
  <c r="AF484" i="1"/>
  <c r="AG484" i="1"/>
  <c r="AH484" i="1"/>
  <c r="AI484" i="1"/>
  <c r="AJ484" i="1"/>
  <c r="AK484" i="1"/>
  <c r="AL484" i="1"/>
  <c r="AM484" i="1"/>
  <c r="AQ484" i="1"/>
  <c r="D47" i="2"/>
  <c r="V483" i="1"/>
  <c r="W483" i="1"/>
  <c r="X483" i="1"/>
  <c r="Y483" i="1"/>
  <c r="Z483" i="1"/>
  <c r="AA483" i="1"/>
  <c r="AB483" i="1"/>
  <c r="AC483" i="1"/>
  <c r="AD483" i="1"/>
  <c r="AE483" i="1"/>
  <c r="AF483" i="1"/>
  <c r="AG483" i="1"/>
  <c r="AH483" i="1"/>
  <c r="AI483" i="1"/>
  <c r="AJ483" i="1"/>
  <c r="AK483" i="1"/>
  <c r="AL483" i="1"/>
  <c r="AM483" i="1"/>
  <c r="AQ483" i="1"/>
  <c r="D46" i="2"/>
  <c r="V482" i="1"/>
  <c r="W482" i="1"/>
  <c r="X482" i="1"/>
  <c r="Y482" i="1"/>
  <c r="Z482" i="1"/>
  <c r="AA482" i="1"/>
  <c r="AB482" i="1"/>
  <c r="AC482" i="1"/>
  <c r="AD482" i="1"/>
  <c r="AE482" i="1"/>
  <c r="AF482" i="1"/>
  <c r="AG482" i="1"/>
  <c r="AH482" i="1"/>
  <c r="AI482" i="1"/>
  <c r="AJ482" i="1"/>
  <c r="AK482" i="1"/>
  <c r="AL482" i="1"/>
  <c r="AM482" i="1"/>
  <c r="AQ482" i="1"/>
  <c r="D45" i="2"/>
  <c r="V481" i="1"/>
  <c r="W481" i="1"/>
  <c r="X481" i="1"/>
  <c r="Y481" i="1"/>
  <c r="Z481" i="1"/>
  <c r="AA481" i="1"/>
  <c r="AB481" i="1"/>
  <c r="AC481" i="1"/>
  <c r="AD481" i="1"/>
  <c r="AE481" i="1"/>
  <c r="AF481" i="1"/>
  <c r="AG481" i="1"/>
  <c r="AH481" i="1"/>
  <c r="AI481" i="1"/>
  <c r="AJ481" i="1"/>
  <c r="AK481" i="1"/>
  <c r="AL481" i="1"/>
  <c r="AM481" i="1"/>
  <c r="AQ481" i="1"/>
  <c r="D44" i="2"/>
  <c r="V480" i="1"/>
  <c r="W480" i="1"/>
  <c r="X480" i="1"/>
  <c r="Y480" i="1"/>
  <c r="Z480" i="1"/>
  <c r="AA480" i="1"/>
  <c r="AB480" i="1"/>
  <c r="AC480" i="1"/>
  <c r="AD480" i="1"/>
  <c r="AE480" i="1"/>
  <c r="AF480" i="1"/>
  <c r="AG480" i="1"/>
  <c r="AH480" i="1"/>
  <c r="AI480" i="1"/>
  <c r="AJ480" i="1"/>
  <c r="AK480" i="1"/>
  <c r="AL480" i="1"/>
  <c r="AM480" i="1"/>
  <c r="AQ480" i="1"/>
  <c r="D43" i="2"/>
  <c r="V479" i="1"/>
  <c r="W479" i="1"/>
  <c r="X479" i="1"/>
  <c r="Y479" i="1"/>
  <c r="Z479" i="1"/>
  <c r="AA479" i="1"/>
  <c r="AB479" i="1"/>
  <c r="AC479" i="1"/>
  <c r="AD479" i="1"/>
  <c r="AE479" i="1"/>
  <c r="AF479" i="1"/>
  <c r="AG479" i="1"/>
  <c r="AH479" i="1"/>
  <c r="AI479" i="1"/>
  <c r="AJ479" i="1"/>
  <c r="AK479" i="1"/>
  <c r="AL479" i="1"/>
  <c r="AM479" i="1"/>
  <c r="AQ479" i="1"/>
  <c r="D42" i="2"/>
  <c r="V478" i="1"/>
  <c r="W478" i="1"/>
  <c r="X478" i="1"/>
  <c r="Y478" i="1"/>
  <c r="Z478" i="1"/>
  <c r="AA478" i="1"/>
  <c r="AB478" i="1"/>
  <c r="AC478" i="1"/>
  <c r="AD478" i="1"/>
  <c r="AE478" i="1"/>
  <c r="AF478" i="1"/>
  <c r="AG478" i="1"/>
  <c r="AH478" i="1"/>
  <c r="AI478" i="1"/>
  <c r="AJ478" i="1"/>
  <c r="AK478" i="1"/>
  <c r="AL478" i="1"/>
  <c r="AM478" i="1"/>
  <c r="AQ478" i="1"/>
  <c r="D41" i="2"/>
  <c r="V477" i="1"/>
  <c r="W477" i="1"/>
  <c r="X477" i="1"/>
  <c r="Y477" i="1"/>
  <c r="Z477" i="1"/>
  <c r="AA477" i="1"/>
  <c r="AB477" i="1"/>
  <c r="AC477" i="1"/>
  <c r="AD477" i="1"/>
  <c r="AE477" i="1"/>
  <c r="AF477" i="1"/>
  <c r="AG477" i="1"/>
  <c r="AH477" i="1"/>
  <c r="AI477" i="1"/>
  <c r="AJ477" i="1"/>
  <c r="AK477" i="1"/>
  <c r="AL477" i="1"/>
  <c r="AM477" i="1"/>
  <c r="AQ477" i="1"/>
  <c r="D40" i="2"/>
  <c r="V476" i="1"/>
  <c r="W476" i="1"/>
  <c r="X476" i="1"/>
  <c r="Y476" i="1"/>
  <c r="Z476" i="1"/>
  <c r="AA476" i="1"/>
  <c r="AB476" i="1"/>
  <c r="AC476" i="1"/>
  <c r="AD476" i="1"/>
  <c r="AE476" i="1"/>
  <c r="AF476" i="1"/>
  <c r="AG476" i="1"/>
  <c r="AH476" i="1"/>
  <c r="AI476" i="1"/>
  <c r="AJ476" i="1"/>
  <c r="AK476" i="1"/>
  <c r="AL476" i="1"/>
  <c r="AM476" i="1"/>
  <c r="AQ476" i="1"/>
  <c r="D39" i="2"/>
  <c r="V475" i="1"/>
  <c r="W475" i="1"/>
  <c r="X475" i="1"/>
  <c r="Y475" i="1"/>
  <c r="Z475" i="1"/>
  <c r="AA475" i="1"/>
  <c r="AB475" i="1"/>
  <c r="AC475" i="1"/>
  <c r="AD475" i="1"/>
  <c r="AE475" i="1"/>
  <c r="AF475" i="1"/>
  <c r="AG475" i="1"/>
  <c r="AH475" i="1"/>
  <c r="AI475" i="1"/>
  <c r="AJ475" i="1"/>
  <c r="AK475" i="1"/>
  <c r="AL475" i="1"/>
  <c r="AM475" i="1"/>
  <c r="AQ475" i="1"/>
  <c r="D38" i="2"/>
  <c r="V474" i="1"/>
  <c r="W474" i="1"/>
  <c r="X474" i="1"/>
  <c r="Y474" i="1"/>
  <c r="Z474" i="1"/>
  <c r="AA474" i="1"/>
  <c r="AB474" i="1"/>
  <c r="AC474" i="1"/>
  <c r="AD474" i="1"/>
  <c r="AE474" i="1"/>
  <c r="AF474" i="1"/>
  <c r="AG474" i="1"/>
  <c r="AH474" i="1"/>
  <c r="AI474" i="1"/>
  <c r="AJ474" i="1"/>
  <c r="AK474" i="1"/>
  <c r="AL474" i="1"/>
  <c r="AM474" i="1"/>
  <c r="AQ474" i="1"/>
  <c r="D37" i="2"/>
  <c r="V473" i="1"/>
  <c r="W473" i="1"/>
  <c r="X473" i="1"/>
  <c r="Y473" i="1"/>
  <c r="Z473" i="1"/>
  <c r="AA473" i="1"/>
  <c r="AB473" i="1"/>
  <c r="AC473" i="1"/>
  <c r="AD473" i="1"/>
  <c r="AE473" i="1"/>
  <c r="AF473" i="1"/>
  <c r="AG473" i="1"/>
  <c r="AH473" i="1"/>
  <c r="AI473" i="1"/>
  <c r="AJ473" i="1"/>
  <c r="AK473" i="1"/>
  <c r="AL473" i="1"/>
  <c r="AM473" i="1"/>
  <c r="AQ473" i="1"/>
  <c r="D36" i="2"/>
  <c r="V472" i="1"/>
  <c r="W472" i="1"/>
  <c r="X472" i="1"/>
  <c r="Y472" i="1"/>
  <c r="Z472" i="1"/>
  <c r="AA472" i="1"/>
  <c r="AB472" i="1"/>
  <c r="AC472" i="1"/>
  <c r="AD472" i="1"/>
  <c r="AE472" i="1"/>
  <c r="AF472" i="1"/>
  <c r="AG472" i="1"/>
  <c r="AH472" i="1"/>
  <c r="AI472" i="1"/>
  <c r="AJ472" i="1"/>
  <c r="AK472" i="1"/>
  <c r="AL472" i="1"/>
  <c r="AM472" i="1"/>
  <c r="AQ472" i="1"/>
  <c r="D35" i="2"/>
  <c r="V471" i="1"/>
  <c r="W471" i="1"/>
  <c r="X471" i="1"/>
  <c r="Y471" i="1"/>
  <c r="Z471" i="1"/>
  <c r="AA471" i="1"/>
  <c r="AB471" i="1"/>
  <c r="AC471" i="1"/>
  <c r="AD471" i="1"/>
  <c r="AE471" i="1"/>
  <c r="AF471" i="1"/>
  <c r="AG471" i="1"/>
  <c r="AH471" i="1"/>
  <c r="AI471" i="1"/>
  <c r="AJ471" i="1"/>
  <c r="AK471" i="1"/>
  <c r="AL471" i="1"/>
  <c r="AM471" i="1"/>
  <c r="AQ471" i="1"/>
  <c r="D34" i="2"/>
  <c r="V470" i="1"/>
  <c r="W470" i="1"/>
  <c r="X470" i="1"/>
  <c r="Y470" i="1"/>
  <c r="Z470" i="1"/>
  <c r="AA470" i="1"/>
  <c r="AB470" i="1"/>
  <c r="AC470" i="1"/>
  <c r="AD470" i="1"/>
  <c r="AE470" i="1"/>
  <c r="AF470" i="1"/>
  <c r="AG470" i="1"/>
  <c r="AH470" i="1"/>
  <c r="AI470" i="1"/>
  <c r="AJ470" i="1"/>
  <c r="AK470" i="1"/>
  <c r="AL470" i="1"/>
  <c r="AM470" i="1"/>
  <c r="AQ470" i="1"/>
  <c r="D33" i="2"/>
  <c r="V469" i="1"/>
  <c r="W469" i="1"/>
  <c r="X469" i="1"/>
  <c r="Y469" i="1"/>
  <c r="Z469" i="1"/>
  <c r="AA469" i="1"/>
  <c r="AB469" i="1"/>
  <c r="AC469" i="1"/>
  <c r="AD469" i="1"/>
  <c r="AE469" i="1"/>
  <c r="AF469" i="1"/>
  <c r="AG469" i="1"/>
  <c r="AH469" i="1"/>
  <c r="AI469" i="1"/>
  <c r="AJ469" i="1"/>
  <c r="AK469" i="1"/>
  <c r="AL469" i="1"/>
  <c r="AM469" i="1"/>
  <c r="AQ469" i="1"/>
  <c r="D32" i="2"/>
  <c r="V468" i="1"/>
  <c r="W468" i="1"/>
  <c r="X468" i="1"/>
  <c r="Y468" i="1"/>
  <c r="Z468" i="1"/>
  <c r="AA468" i="1"/>
  <c r="AB468" i="1"/>
  <c r="AC468" i="1"/>
  <c r="AD468" i="1"/>
  <c r="AE468" i="1"/>
  <c r="AF468" i="1"/>
  <c r="AG468" i="1"/>
  <c r="AH468" i="1"/>
  <c r="AI468" i="1"/>
  <c r="AJ468" i="1"/>
  <c r="AK468" i="1"/>
  <c r="AL468" i="1"/>
  <c r="AM468" i="1"/>
  <c r="AQ468" i="1"/>
  <c r="D31" i="2"/>
  <c r="V467" i="1"/>
  <c r="W467" i="1"/>
  <c r="X467" i="1"/>
  <c r="Y467" i="1"/>
  <c r="Z467" i="1"/>
  <c r="AA467" i="1"/>
  <c r="AB467" i="1"/>
  <c r="AC467" i="1"/>
  <c r="AD467" i="1"/>
  <c r="AE467" i="1"/>
  <c r="AF467" i="1"/>
  <c r="AG467" i="1"/>
  <c r="AH467" i="1"/>
  <c r="AI467" i="1"/>
  <c r="AJ467" i="1"/>
  <c r="AK467" i="1"/>
  <c r="AL467" i="1"/>
  <c r="AM467" i="1"/>
  <c r="AQ467" i="1"/>
  <c r="D30" i="2"/>
  <c r="V466" i="1"/>
  <c r="W466" i="1"/>
  <c r="X466" i="1"/>
  <c r="Y466" i="1"/>
  <c r="Z466" i="1"/>
  <c r="AA466" i="1"/>
  <c r="AB466" i="1"/>
  <c r="AC466" i="1"/>
  <c r="AD466" i="1"/>
  <c r="AE466" i="1"/>
  <c r="AF466" i="1"/>
  <c r="AG466" i="1"/>
  <c r="AH466" i="1"/>
  <c r="AI466" i="1"/>
  <c r="AJ466" i="1"/>
  <c r="AK466" i="1"/>
  <c r="AL466" i="1"/>
  <c r="AM466" i="1"/>
  <c r="AQ466" i="1"/>
  <c r="D29" i="2"/>
  <c r="V465" i="1"/>
  <c r="W465" i="1"/>
  <c r="X465" i="1"/>
  <c r="Y465" i="1"/>
  <c r="Z465" i="1"/>
  <c r="AA465" i="1"/>
  <c r="AB465" i="1"/>
  <c r="AC465" i="1"/>
  <c r="AD465" i="1"/>
  <c r="AE465" i="1"/>
  <c r="AF465" i="1"/>
  <c r="AG465" i="1"/>
  <c r="AH465" i="1"/>
  <c r="AI465" i="1"/>
  <c r="AJ465" i="1"/>
  <c r="AK465" i="1"/>
  <c r="AL465" i="1"/>
  <c r="AM465" i="1"/>
  <c r="AQ465" i="1"/>
  <c r="D28" i="2"/>
  <c r="V464" i="1"/>
  <c r="W464" i="1"/>
  <c r="X464" i="1"/>
  <c r="Y464" i="1"/>
  <c r="Z464" i="1"/>
  <c r="AA464" i="1"/>
  <c r="AB464" i="1"/>
  <c r="AC464" i="1"/>
  <c r="AD464" i="1"/>
  <c r="AE464" i="1"/>
  <c r="AF464" i="1"/>
  <c r="AG464" i="1"/>
  <c r="AH464" i="1"/>
  <c r="AI464" i="1"/>
  <c r="AJ464" i="1"/>
  <c r="AK464" i="1"/>
  <c r="AL464" i="1"/>
  <c r="AM464" i="1"/>
  <c r="AQ464" i="1"/>
  <c r="D27" i="2"/>
  <c r="V463" i="1"/>
  <c r="W463" i="1"/>
  <c r="X463" i="1"/>
  <c r="Y463" i="1"/>
  <c r="Z463" i="1"/>
  <c r="AA463" i="1"/>
  <c r="AB463" i="1"/>
  <c r="AC463" i="1"/>
  <c r="AD463" i="1"/>
  <c r="AE463" i="1"/>
  <c r="AF463" i="1"/>
  <c r="AG463" i="1"/>
  <c r="AH463" i="1"/>
  <c r="AI463" i="1"/>
  <c r="AJ463" i="1"/>
  <c r="AK463" i="1"/>
  <c r="AL463" i="1"/>
  <c r="AM463" i="1"/>
  <c r="AQ463" i="1"/>
  <c r="D26" i="2"/>
  <c r="V462" i="1"/>
  <c r="W462" i="1"/>
  <c r="X462" i="1"/>
  <c r="Y462" i="1"/>
  <c r="Z462" i="1"/>
  <c r="AA462" i="1"/>
  <c r="AB462" i="1"/>
  <c r="AC462" i="1"/>
  <c r="AD462" i="1"/>
  <c r="AE462" i="1"/>
  <c r="AF462" i="1"/>
  <c r="AG462" i="1"/>
  <c r="AH462" i="1"/>
  <c r="AI462" i="1"/>
  <c r="AJ462" i="1"/>
  <c r="AK462" i="1"/>
  <c r="AL462" i="1"/>
  <c r="AM462" i="1"/>
  <c r="AQ462" i="1"/>
  <c r="D25" i="2"/>
  <c r="V461" i="1"/>
  <c r="W461" i="1"/>
  <c r="X461" i="1"/>
  <c r="Y461" i="1"/>
  <c r="Z461" i="1"/>
  <c r="AA461" i="1"/>
  <c r="AB461" i="1"/>
  <c r="AC461" i="1"/>
  <c r="AD461" i="1"/>
  <c r="AE461" i="1"/>
  <c r="AF461" i="1"/>
  <c r="AG461" i="1"/>
  <c r="AH461" i="1"/>
  <c r="AI461" i="1"/>
  <c r="AJ461" i="1"/>
  <c r="AK461" i="1"/>
  <c r="AL461" i="1"/>
  <c r="AM461" i="1"/>
  <c r="AQ461" i="1"/>
  <c r="D24" i="2"/>
  <c r="V460" i="1"/>
  <c r="W460" i="1"/>
  <c r="X460" i="1"/>
  <c r="Y460" i="1"/>
  <c r="Z460" i="1"/>
  <c r="AA460" i="1"/>
  <c r="AB460" i="1"/>
  <c r="AC460" i="1"/>
  <c r="AD460" i="1"/>
  <c r="AE460" i="1"/>
  <c r="AF460" i="1"/>
  <c r="AG460" i="1"/>
  <c r="AH460" i="1"/>
  <c r="AI460" i="1"/>
  <c r="AJ460" i="1"/>
  <c r="AK460" i="1"/>
  <c r="AL460" i="1"/>
  <c r="AM460" i="1"/>
  <c r="AQ460" i="1"/>
  <c r="D23" i="2"/>
  <c r="V459" i="1"/>
  <c r="W459" i="1"/>
  <c r="X459" i="1"/>
  <c r="Y459" i="1"/>
  <c r="Z459" i="1"/>
  <c r="AA459" i="1"/>
  <c r="AB459" i="1"/>
  <c r="AC459" i="1"/>
  <c r="AD459" i="1"/>
  <c r="AE459" i="1"/>
  <c r="AF459" i="1"/>
  <c r="AG459" i="1"/>
  <c r="AH459" i="1"/>
  <c r="AI459" i="1"/>
  <c r="AJ459" i="1"/>
  <c r="AK459" i="1"/>
  <c r="AL459" i="1"/>
  <c r="AM459" i="1"/>
  <c r="AQ459" i="1"/>
  <c r="D22" i="2"/>
  <c r="V458" i="1"/>
  <c r="W458" i="1"/>
  <c r="X458" i="1"/>
  <c r="Y458" i="1"/>
  <c r="Z458" i="1"/>
  <c r="AA458" i="1"/>
  <c r="AB458" i="1"/>
  <c r="AC458" i="1"/>
  <c r="AD458" i="1"/>
  <c r="AE458" i="1"/>
  <c r="AF458" i="1"/>
  <c r="AG458" i="1"/>
  <c r="AH458" i="1"/>
  <c r="AI458" i="1"/>
  <c r="AJ458" i="1"/>
  <c r="AK458" i="1"/>
  <c r="AL458" i="1"/>
  <c r="AM458" i="1"/>
  <c r="AQ458" i="1"/>
  <c r="D21" i="2"/>
  <c r="V457" i="1"/>
  <c r="W457" i="1"/>
  <c r="X457" i="1"/>
  <c r="Y457" i="1"/>
  <c r="Z457" i="1"/>
  <c r="AA457" i="1"/>
  <c r="AB457" i="1"/>
  <c r="AC457" i="1"/>
  <c r="AD457" i="1"/>
  <c r="AE457" i="1"/>
  <c r="AF457" i="1"/>
  <c r="AG457" i="1"/>
  <c r="AH457" i="1"/>
  <c r="AI457" i="1"/>
  <c r="AJ457" i="1"/>
  <c r="AK457" i="1"/>
  <c r="AL457" i="1"/>
  <c r="AM457" i="1"/>
  <c r="AQ457" i="1"/>
  <c r="D20" i="2"/>
  <c r="V456" i="1"/>
  <c r="W456" i="1"/>
  <c r="X456" i="1"/>
  <c r="Y456" i="1"/>
  <c r="Z456" i="1"/>
  <c r="AA456" i="1"/>
  <c r="AB456" i="1"/>
  <c r="AC456" i="1"/>
  <c r="AD456" i="1"/>
  <c r="AE456" i="1"/>
  <c r="AF456" i="1"/>
  <c r="AG456" i="1"/>
  <c r="AH456" i="1"/>
  <c r="AI456" i="1"/>
  <c r="AJ456" i="1"/>
  <c r="AK456" i="1"/>
  <c r="AL456" i="1"/>
  <c r="AM456" i="1"/>
  <c r="AQ456" i="1"/>
  <c r="D19" i="2"/>
  <c r="V455" i="1"/>
  <c r="W455" i="1"/>
  <c r="X455" i="1"/>
  <c r="Y455" i="1"/>
  <c r="Z455" i="1"/>
  <c r="AA455" i="1"/>
  <c r="AB455" i="1"/>
  <c r="AC455" i="1"/>
  <c r="AD455" i="1"/>
  <c r="AE455" i="1"/>
  <c r="AF455" i="1"/>
  <c r="AG455" i="1"/>
  <c r="AH455" i="1"/>
  <c r="AI455" i="1"/>
  <c r="AJ455" i="1"/>
  <c r="AK455" i="1"/>
  <c r="AL455" i="1"/>
  <c r="AM455" i="1"/>
  <c r="AQ455" i="1"/>
  <c r="D18" i="2"/>
  <c r="V454" i="1"/>
  <c r="W454" i="1"/>
  <c r="X454" i="1"/>
  <c r="Y454" i="1"/>
  <c r="Z454" i="1"/>
  <c r="AA454" i="1"/>
  <c r="AB454" i="1"/>
  <c r="AC454" i="1"/>
  <c r="AD454" i="1"/>
  <c r="AE454" i="1"/>
  <c r="AF454" i="1"/>
  <c r="AG454" i="1"/>
  <c r="AH454" i="1"/>
  <c r="AI454" i="1"/>
  <c r="AJ454" i="1"/>
  <c r="AK454" i="1"/>
  <c r="AL454" i="1"/>
  <c r="AM454" i="1"/>
  <c r="AQ454" i="1"/>
  <c r="D17" i="2"/>
  <c r="V453" i="1"/>
  <c r="W453" i="1"/>
  <c r="X453" i="1"/>
  <c r="Y453" i="1"/>
  <c r="Z453" i="1"/>
  <c r="AA453" i="1"/>
  <c r="AB453" i="1"/>
  <c r="AC453" i="1"/>
  <c r="AD453" i="1"/>
  <c r="AE453" i="1"/>
  <c r="AF453" i="1"/>
  <c r="AG453" i="1"/>
  <c r="AH453" i="1"/>
  <c r="AI453" i="1"/>
  <c r="AJ453" i="1"/>
  <c r="AK453" i="1"/>
  <c r="AL453" i="1"/>
  <c r="AM453" i="1"/>
  <c r="AQ453" i="1"/>
  <c r="D16" i="2"/>
  <c r="V452" i="1"/>
  <c r="W452" i="1"/>
  <c r="X452" i="1"/>
  <c r="Y452" i="1"/>
  <c r="Z452" i="1"/>
  <c r="AA452" i="1"/>
  <c r="AB452" i="1"/>
  <c r="AC452" i="1"/>
  <c r="AD452" i="1"/>
  <c r="AE452" i="1"/>
  <c r="AF452" i="1"/>
  <c r="AG452" i="1"/>
  <c r="AH452" i="1"/>
  <c r="AI452" i="1"/>
  <c r="AJ452" i="1"/>
  <c r="AK452" i="1"/>
  <c r="AL452" i="1"/>
  <c r="AM452" i="1"/>
  <c r="AQ452" i="1"/>
  <c r="D15" i="2"/>
  <c r="V451" i="1"/>
  <c r="W451" i="1"/>
  <c r="X451" i="1"/>
  <c r="Y451" i="1"/>
  <c r="Z451" i="1"/>
  <c r="AA451" i="1"/>
  <c r="AB451" i="1"/>
  <c r="AC451" i="1"/>
  <c r="AD451" i="1"/>
  <c r="AE451" i="1"/>
  <c r="AF451" i="1"/>
  <c r="AG451" i="1"/>
  <c r="AH451" i="1"/>
  <c r="AI451" i="1"/>
  <c r="AJ451" i="1"/>
  <c r="AK451" i="1"/>
  <c r="AL451" i="1"/>
  <c r="AM451" i="1"/>
  <c r="AQ451" i="1"/>
  <c r="D14" i="2"/>
  <c r="V450" i="1"/>
  <c r="W450" i="1"/>
  <c r="X450" i="1"/>
  <c r="Y450" i="1"/>
  <c r="Z450" i="1"/>
  <c r="AA450" i="1"/>
  <c r="AB450" i="1"/>
  <c r="AC450" i="1"/>
  <c r="AD450" i="1"/>
  <c r="AE450" i="1"/>
  <c r="AF450" i="1"/>
  <c r="AG450" i="1"/>
  <c r="AH450" i="1"/>
  <c r="AI450" i="1"/>
  <c r="AJ450" i="1"/>
  <c r="AK450" i="1"/>
  <c r="AL450" i="1"/>
  <c r="AM450" i="1"/>
  <c r="AQ450" i="1"/>
  <c r="D13" i="2"/>
  <c r="V449" i="1"/>
  <c r="W449" i="1"/>
  <c r="X449" i="1"/>
  <c r="Y449" i="1"/>
  <c r="Z449" i="1"/>
  <c r="AA449" i="1"/>
  <c r="AB449" i="1"/>
  <c r="AC449" i="1"/>
  <c r="AD449" i="1"/>
  <c r="AE449" i="1"/>
  <c r="AF449" i="1"/>
  <c r="AG449" i="1"/>
  <c r="AH449" i="1"/>
  <c r="AI449" i="1"/>
  <c r="AJ449" i="1"/>
  <c r="AK449" i="1"/>
  <c r="AL449" i="1"/>
  <c r="AM449" i="1"/>
  <c r="AQ449" i="1"/>
  <c r="D12" i="2"/>
  <c r="V448" i="1"/>
  <c r="W448" i="1"/>
  <c r="X448" i="1"/>
  <c r="Y448" i="1"/>
  <c r="Z448" i="1"/>
  <c r="AA448" i="1"/>
  <c r="AB448" i="1"/>
  <c r="AC448" i="1"/>
  <c r="AD448" i="1"/>
  <c r="AE448" i="1"/>
  <c r="AF448" i="1"/>
  <c r="AG448" i="1"/>
  <c r="AH448" i="1"/>
  <c r="AI448" i="1"/>
  <c r="AJ448" i="1"/>
  <c r="AK448" i="1"/>
  <c r="AL448" i="1"/>
  <c r="AM448" i="1"/>
  <c r="AQ448" i="1"/>
  <c r="D11" i="2"/>
  <c r="V447" i="1"/>
  <c r="W447" i="1"/>
  <c r="X447" i="1"/>
  <c r="Y447" i="1"/>
  <c r="Z447" i="1"/>
  <c r="AA447" i="1"/>
  <c r="AB447" i="1"/>
  <c r="AC447" i="1"/>
  <c r="AD447" i="1"/>
  <c r="AE447" i="1"/>
  <c r="AF447" i="1"/>
  <c r="AG447" i="1"/>
  <c r="AH447" i="1"/>
  <c r="AI447" i="1"/>
  <c r="AJ447" i="1"/>
  <c r="AK447" i="1"/>
  <c r="AL447" i="1"/>
  <c r="AM447" i="1"/>
  <c r="AQ447" i="1"/>
  <c r="D10" i="2"/>
  <c r="V446" i="1"/>
  <c r="W446" i="1"/>
  <c r="X446" i="1"/>
  <c r="Y446" i="1"/>
  <c r="Z446" i="1"/>
  <c r="AA446" i="1"/>
  <c r="AB446" i="1"/>
  <c r="AC446" i="1"/>
  <c r="AD446" i="1"/>
  <c r="AE446" i="1"/>
  <c r="AF446" i="1"/>
  <c r="AG446" i="1"/>
  <c r="AH446" i="1"/>
  <c r="AI446" i="1"/>
  <c r="AJ446" i="1"/>
  <c r="AK446" i="1"/>
  <c r="AL446" i="1"/>
  <c r="AM446" i="1"/>
  <c r="AQ446" i="1"/>
  <c r="D9" i="2"/>
  <c r="V445" i="1"/>
  <c r="W445" i="1"/>
  <c r="X445" i="1"/>
  <c r="Y445" i="1"/>
  <c r="Z445" i="1"/>
  <c r="AA445" i="1"/>
  <c r="AB445" i="1"/>
  <c r="AC445" i="1"/>
  <c r="AD445" i="1"/>
  <c r="AE445" i="1"/>
  <c r="AF445" i="1"/>
  <c r="AG445" i="1"/>
  <c r="AH445" i="1"/>
  <c r="AI445" i="1"/>
  <c r="AJ445" i="1"/>
  <c r="AK445" i="1"/>
  <c r="AL445" i="1"/>
  <c r="AM445" i="1"/>
  <c r="AQ445" i="1"/>
  <c r="D8" i="2"/>
  <c r="V444" i="1"/>
  <c r="W444" i="1"/>
  <c r="X444" i="1"/>
  <c r="Y444" i="1"/>
  <c r="Z444" i="1"/>
  <c r="AA444" i="1"/>
  <c r="AB444" i="1"/>
  <c r="AC444" i="1"/>
  <c r="AD444" i="1"/>
  <c r="AE444" i="1"/>
  <c r="AF444" i="1"/>
  <c r="AG444" i="1"/>
  <c r="AH444" i="1"/>
  <c r="AI444" i="1"/>
  <c r="AJ444" i="1"/>
  <c r="AK444" i="1"/>
  <c r="AL444" i="1"/>
  <c r="AM444" i="1"/>
  <c r="AQ444" i="1"/>
  <c r="D7" i="2"/>
  <c r="V443" i="1"/>
  <c r="W443" i="1"/>
  <c r="X443" i="1"/>
  <c r="Y443" i="1"/>
  <c r="Z443" i="1"/>
  <c r="AA443" i="1"/>
  <c r="AB443" i="1"/>
  <c r="AC443" i="1"/>
  <c r="AD443" i="1"/>
  <c r="AE443" i="1"/>
  <c r="AF443" i="1"/>
  <c r="AG443" i="1"/>
  <c r="AH443" i="1"/>
  <c r="AI443" i="1"/>
  <c r="AJ443" i="1"/>
  <c r="AK443" i="1"/>
  <c r="AL443" i="1"/>
  <c r="AM443" i="1"/>
  <c r="AQ443" i="1"/>
  <c r="D6" i="2"/>
  <c r="V442" i="1"/>
  <c r="W442" i="1"/>
  <c r="X442" i="1"/>
  <c r="Y442" i="1"/>
  <c r="Z442" i="1"/>
  <c r="AA442" i="1"/>
  <c r="AB442" i="1"/>
  <c r="AC442" i="1"/>
  <c r="AD442" i="1"/>
  <c r="AE442" i="1"/>
  <c r="AF442" i="1"/>
  <c r="AG442" i="1"/>
  <c r="AH442" i="1"/>
  <c r="AI442" i="1"/>
  <c r="AJ442" i="1"/>
  <c r="AK442" i="1"/>
  <c r="AL442" i="1"/>
  <c r="AM442" i="1"/>
  <c r="AQ442" i="1"/>
  <c r="D5" i="2"/>
  <c r="V441" i="1"/>
  <c r="W441" i="1"/>
  <c r="X441" i="1"/>
  <c r="Y441" i="1"/>
  <c r="Z441" i="1"/>
  <c r="AA441" i="1"/>
  <c r="AB441" i="1"/>
  <c r="AC441" i="1"/>
  <c r="AD441" i="1"/>
  <c r="AE441" i="1"/>
  <c r="AF441" i="1"/>
  <c r="AG441" i="1"/>
  <c r="AH441" i="1"/>
  <c r="AI441" i="1"/>
  <c r="AJ441" i="1"/>
  <c r="AK441" i="1"/>
  <c r="AL441" i="1"/>
  <c r="AM441" i="1"/>
  <c r="AQ441" i="1"/>
  <c r="D4"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C5" i="2"/>
  <c r="C4" i="2"/>
  <c r="B19" i="2"/>
  <c r="B20" i="2"/>
  <c r="B21" i="2"/>
  <c r="B22" i="2"/>
  <c r="B23" i="2"/>
  <c r="B24" i="2"/>
  <c r="B25" i="2"/>
  <c r="B26" i="2"/>
  <c r="B27" i="2"/>
  <c r="B28" i="2"/>
  <c r="B29" i="2"/>
  <c r="B30" i="2"/>
  <c r="B31" i="2"/>
  <c r="B5" i="2"/>
  <c r="B6" i="2"/>
  <c r="B7" i="2"/>
  <c r="B8" i="2"/>
  <c r="B9" i="2"/>
  <c r="B10" i="2"/>
  <c r="B11" i="2"/>
  <c r="B12" i="2"/>
  <c r="B13" i="2"/>
  <c r="B14" i="2"/>
  <c r="B15" i="2"/>
  <c r="B16" i="2"/>
  <c r="B17" i="2"/>
  <c r="BJ968" i="1"/>
  <c r="BK968" i="1"/>
  <c r="BJ967" i="1"/>
  <c r="BK967" i="1"/>
  <c r="BJ966" i="1"/>
  <c r="BK966" i="1"/>
  <c r="BJ965" i="1"/>
  <c r="BK965" i="1"/>
  <c r="BJ964" i="1"/>
  <c r="BK964" i="1"/>
  <c r="BJ963" i="1"/>
  <c r="BK963" i="1"/>
  <c r="BJ962" i="1"/>
  <c r="BK962" i="1"/>
  <c r="BJ961" i="1"/>
  <c r="BK961" i="1"/>
  <c r="BJ960" i="1"/>
  <c r="BK960" i="1"/>
  <c r="BJ959" i="1"/>
  <c r="BK959" i="1"/>
  <c r="BJ958" i="1"/>
  <c r="BK958" i="1"/>
  <c r="BJ957" i="1"/>
  <c r="BK957" i="1"/>
  <c r="BJ956" i="1"/>
  <c r="BK956" i="1"/>
  <c r="BJ955" i="1"/>
  <c r="BK955" i="1"/>
  <c r="BJ954" i="1"/>
  <c r="BK954" i="1"/>
  <c r="BJ953" i="1"/>
  <c r="BK953" i="1"/>
  <c r="BJ952" i="1"/>
  <c r="BK952" i="1"/>
  <c r="BJ951" i="1"/>
  <c r="BK951" i="1"/>
  <c r="BJ950" i="1"/>
  <c r="BK950" i="1"/>
  <c r="BJ949" i="1"/>
  <c r="BK949" i="1"/>
  <c r="BJ948" i="1"/>
  <c r="BK948" i="1"/>
  <c r="BJ947" i="1"/>
  <c r="BK947" i="1"/>
  <c r="BJ946" i="1"/>
  <c r="BK946" i="1"/>
  <c r="BJ945" i="1"/>
  <c r="BK945" i="1"/>
  <c r="BJ944" i="1"/>
  <c r="BK944" i="1"/>
  <c r="BJ943" i="1"/>
  <c r="BK943" i="1"/>
  <c r="BJ942" i="1"/>
  <c r="BK942" i="1"/>
  <c r="BJ941" i="1"/>
  <c r="BK941" i="1"/>
  <c r="BJ940" i="1"/>
  <c r="BK940" i="1"/>
  <c r="BJ939" i="1"/>
  <c r="BK939" i="1"/>
  <c r="BJ938" i="1"/>
  <c r="BK938" i="1"/>
  <c r="BJ937" i="1"/>
  <c r="BK937" i="1"/>
  <c r="BJ936" i="1"/>
  <c r="BK936" i="1"/>
  <c r="BJ935" i="1"/>
  <c r="BK935" i="1"/>
  <c r="BJ934" i="1"/>
  <c r="BK934" i="1"/>
  <c r="BJ933" i="1"/>
  <c r="BK933" i="1"/>
  <c r="BJ932" i="1"/>
  <c r="BK932" i="1"/>
  <c r="BJ931" i="1"/>
  <c r="BK931" i="1"/>
  <c r="BJ930" i="1"/>
  <c r="BK930" i="1"/>
  <c r="BJ929" i="1"/>
  <c r="BK929" i="1"/>
  <c r="BJ928" i="1"/>
  <c r="BK928" i="1"/>
  <c r="BJ927" i="1"/>
  <c r="BK927" i="1"/>
  <c r="BJ926" i="1"/>
  <c r="BK926" i="1"/>
  <c r="BJ925" i="1"/>
  <c r="BK925" i="1"/>
  <c r="BJ924" i="1"/>
  <c r="BK924" i="1"/>
  <c r="BJ923" i="1"/>
  <c r="BK923" i="1"/>
  <c r="BJ922" i="1"/>
  <c r="BK922" i="1"/>
  <c r="BJ921" i="1"/>
  <c r="BK921" i="1"/>
  <c r="BJ920" i="1"/>
  <c r="BK920" i="1"/>
  <c r="BJ919" i="1"/>
  <c r="BK919" i="1"/>
  <c r="BJ918" i="1"/>
  <c r="BK918" i="1"/>
  <c r="BJ917" i="1"/>
  <c r="BK917" i="1"/>
  <c r="BJ916" i="1"/>
  <c r="BK916" i="1"/>
  <c r="BJ915" i="1"/>
  <c r="BK915" i="1"/>
  <c r="BJ914" i="1"/>
  <c r="BK914" i="1"/>
  <c r="BJ913" i="1"/>
  <c r="BK913" i="1"/>
  <c r="BI956" i="1"/>
  <c r="BI957" i="1"/>
  <c r="BI958" i="1"/>
  <c r="BI959" i="1"/>
  <c r="BI960" i="1"/>
  <c r="BI961" i="1"/>
  <c r="BI962" i="1"/>
  <c r="BI963" i="1"/>
  <c r="BI964" i="1"/>
  <c r="BI965" i="1"/>
  <c r="BI966" i="1"/>
  <c r="BI967" i="1"/>
  <c r="BI968" i="1"/>
  <c r="BI942" i="1"/>
  <c r="BI943" i="1"/>
  <c r="BI944" i="1"/>
  <c r="BI945" i="1"/>
  <c r="BI946" i="1"/>
  <c r="BI947" i="1"/>
  <c r="BI948" i="1"/>
  <c r="BI949" i="1"/>
  <c r="BI950" i="1"/>
  <c r="BI951" i="1"/>
  <c r="BI952" i="1"/>
  <c r="BI953" i="1"/>
  <c r="BI954" i="1"/>
  <c r="BI928" i="1"/>
  <c r="BI929" i="1"/>
  <c r="BI930" i="1"/>
  <c r="BI931" i="1"/>
  <c r="BI932" i="1"/>
  <c r="BI933" i="1"/>
  <c r="BI934" i="1"/>
  <c r="BI935" i="1"/>
  <c r="BI936" i="1"/>
  <c r="BI937" i="1"/>
  <c r="BI938" i="1"/>
  <c r="BI939" i="1"/>
  <c r="BI940" i="1"/>
  <c r="BI914" i="1"/>
  <c r="BI915" i="1"/>
  <c r="BI916" i="1"/>
  <c r="BI917" i="1"/>
  <c r="BI918" i="1"/>
  <c r="BI919" i="1"/>
  <c r="BI920" i="1"/>
  <c r="BI921" i="1"/>
  <c r="BI922" i="1"/>
  <c r="BI923" i="1"/>
  <c r="BI924" i="1"/>
  <c r="BI925" i="1"/>
  <c r="BI926" i="1"/>
  <c r="C142" i="1"/>
  <c r="D21" i="1"/>
  <c r="D142" i="1"/>
  <c r="D18" i="1"/>
  <c r="D19" i="1"/>
  <c r="E21" i="1"/>
  <c r="E142" i="1"/>
  <c r="E18" i="1"/>
  <c r="E19" i="1"/>
  <c r="F21" i="1"/>
  <c r="F142" i="1"/>
  <c r="F19" i="1"/>
  <c r="G21" i="1"/>
  <c r="G142" i="1"/>
  <c r="H21" i="1"/>
  <c r="H142" i="1"/>
  <c r="I21" i="1"/>
  <c r="I142" i="1"/>
  <c r="I18" i="1"/>
  <c r="I19" i="1"/>
  <c r="J16" i="1"/>
  <c r="J21" i="1"/>
  <c r="J142" i="1"/>
  <c r="J18" i="1"/>
  <c r="J19" i="1"/>
  <c r="K21" i="1"/>
  <c r="K142" i="1"/>
  <c r="K18" i="1"/>
  <c r="K19" i="1"/>
  <c r="L21" i="1"/>
  <c r="L142" i="1"/>
  <c r="L18" i="1"/>
  <c r="M21" i="1"/>
  <c r="M142" i="1"/>
  <c r="M18" i="1"/>
  <c r="M19" i="1"/>
  <c r="N21" i="1"/>
  <c r="N142" i="1"/>
  <c r="N18" i="1"/>
  <c r="O21" i="1"/>
  <c r="O142" i="1"/>
  <c r="O18" i="1"/>
  <c r="P142" i="1"/>
  <c r="Q142" i="1"/>
  <c r="R142" i="1"/>
  <c r="R19" i="1"/>
  <c r="S142" i="1"/>
  <c r="T142" i="1"/>
  <c r="BI838" i="1"/>
  <c r="BI839" i="1"/>
  <c r="BI840" i="1"/>
  <c r="BI841" i="1"/>
  <c r="BI842" i="1"/>
  <c r="BI843" i="1"/>
  <c r="BI844" i="1"/>
  <c r="BI845" i="1"/>
  <c r="BI846" i="1"/>
  <c r="BI847" i="1"/>
  <c r="BI848" i="1"/>
  <c r="BI849" i="1"/>
  <c r="BI850" i="1"/>
  <c r="C141" i="1"/>
  <c r="D141" i="1"/>
  <c r="E141" i="1"/>
  <c r="F141" i="1"/>
  <c r="G141" i="1"/>
  <c r="H141" i="1"/>
  <c r="I141" i="1"/>
  <c r="J141" i="1"/>
  <c r="K141" i="1"/>
  <c r="L141" i="1"/>
  <c r="M141" i="1"/>
  <c r="N141" i="1"/>
  <c r="O141" i="1"/>
  <c r="P141" i="1"/>
  <c r="Q141" i="1"/>
  <c r="R141" i="1"/>
  <c r="S141" i="1"/>
  <c r="T141" i="1"/>
  <c r="C140" i="1"/>
  <c r="D140" i="1"/>
  <c r="E140" i="1"/>
  <c r="F140" i="1"/>
  <c r="G140" i="1"/>
  <c r="H140" i="1"/>
  <c r="I140" i="1"/>
  <c r="J140" i="1"/>
  <c r="K140" i="1"/>
  <c r="L140" i="1"/>
  <c r="M140" i="1"/>
  <c r="N140" i="1"/>
  <c r="O140" i="1"/>
  <c r="P140" i="1"/>
  <c r="Q140" i="1"/>
  <c r="R140" i="1"/>
  <c r="S140" i="1"/>
  <c r="T140" i="1"/>
  <c r="C139" i="1"/>
  <c r="D139" i="1"/>
  <c r="E139" i="1"/>
  <c r="F139" i="1"/>
  <c r="G139" i="1"/>
  <c r="H139" i="1"/>
  <c r="I139" i="1"/>
  <c r="J139" i="1"/>
  <c r="K139" i="1"/>
  <c r="L139" i="1"/>
  <c r="M139" i="1"/>
  <c r="N139" i="1"/>
  <c r="O139" i="1"/>
  <c r="P139" i="1"/>
  <c r="Q139" i="1"/>
  <c r="R139" i="1"/>
  <c r="S139" i="1"/>
  <c r="T139" i="1"/>
  <c r="C138" i="1"/>
  <c r="D138" i="1"/>
  <c r="E138" i="1"/>
  <c r="F138" i="1"/>
  <c r="G138" i="1"/>
  <c r="H138" i="1"/>
  <c r="I138" i="1"/>
  <c r="J138" i="1"/>
  <c r="K138" i="1"/>
  <c r="L138" i="1"/>
  <c r="M138" i="1"/>
  <c r="N138" i="1"/>
  <c r="O138" i="1"/>
  <c r="P138" i="1"/>
  <c r="Q138" i="1"/>
  <c r="R138" i="1"/>
  <c r="S138" i="1"/>
  <c r="T138" i="1"/>
  <c r="C137" i="1"/>
  <c r="D137" i="1"/>
  <c r="E137" i="1"/>
  <c r="F137" i="1"/>
  <c r="G137" i="1"/>
  <c r="H137" i="1"/>
  <c r="I137" i="1"/>
  <c r="J137" i="1"/>
  <c r="K137" i="1"/>
  <c r="L137" i="1"/>
  <c r="M137" i="1"/>
  <c r="N137" i="1"/>
  <c r="O137" i="1"/>
  <c r="P137" i="1"/>
  <c r="Q137" i="1"/>
  <c r="R137" i="1"/>
  <c r="S137" i="1"/>
  <c r="T137" i="1"/>
  <c r="C136" i="1"/>
  <c r="D136" i="1"/>
  <c r="E136" i="1"/>
  <c r="F136" i="1"/>
  <c r="G136" i="1"/>
  <c r="H136" i="1"/>
  <c r="I136" i="1"/>
  <c r="J136" i="1"/>
  <c r="K136" i="1"/>
  <c r="L136" i="1"/>
  <c r="M136" i="1"/>
  <c r="N136" i="1"/>
  <c r="O136" i="1"/>
  <c r="P136" i="1"/>
  <c r="Q136" i="1"/>
  <c r="R136" i="1"/>
  <c r="S136" i="1"/>
  <c r="T136" i="1"/>
  <c r="C135" i="1"/>
  <c r="D135" i="1"/>
  <c r="E135" i="1"/>
  <c r="F135" i="1"/>
  <c r="G135" i="1"/>
  <c r="H135" i="1"/>
  <c r="I135" i="1"/>
  <c r="J135" i="1"/>
  <c r="K135" i="1"/>
  <c r="L135" i="1"/>
  <c r="M135" i="1"/>
  <c r="N135" i="1"/>
  <c r="O135" i="1"/>
  <c r="P135" i="1"/>
  <c r="Q135" i="1"/>
  <c r="R135" i="1"/>
  <c r="S135" i="1"/>
  <c r="T135" i="1"/>
  <c r="C134" i="1"/>
  <c r="D134" i="1"/>
  <c r="E134" i="1"/>
  <c r="F134" i="1"/>
  <c r="G134" i="1"/>
  <c r="H134" i="1"/>
  <c r="I134" i="1"/>
  <c r="J134" i="1"/>
  <c r="K134" i="1"/>
  <c r="L134" i="1"/>
  <c r="M134" i="1"/>
  <c r="N134" i="1"/>
  <c r="O134" i="1"/>
  <c r="P134" i="1"/>
  <c r="Q134" i="1"/>
  <c r="R134" i="1"/>
  <c r="S134" i="1"/>
  <c r="T134" i="1"/>
  <c r="C133" i="1"/>
  <c r="D133" i="1"/>
  <c r="E133" i="1"/>
  <c r="F133" i="1"/>
  <c r="G133" i="1"/>
  <c r="H133" i="1"/>
  <c r="I133" i="1"/>
  <c r="J133" i="1"/>
  <c r="K133" i="1"/>
  <c r="L133" i="1"/>
  <c r="M133" i="1"/>
  <c r="N133" i="1"/>
  <c r="O133" i="1"/>
  <c r="P133" i="1"/>
  <c r="Q133" i="1"/>
  <c r="R133" i="1"/>
  <c r="S133" i="1"/>
  <c r="T133" i="1"/>
  <c r="C132" i="1"/>
  <c r="D132" i="1"/>
  <c r="E132" i="1"/>
  <c r="F132" i="1"/>
  <c r="G132" i="1"/>
  <c r="H132" i="1"/>
  <c r="I132" i="1"/>
  <c r="J132" i="1"/>
  <c r="K132" i="1"/>
  <c r="L132" i="1"/>
  <c r="M132" i="1"/>
  <c r="N132" i="1"/>
  <c r="O132" i="1"/>
  <c r="P132" i="1"/>
  <c r="Q132" i="1"/>
  <c r="R132" i="1"/>
  <c r="S132" i="1"/>
  <c r="T132" i="1"/>
  <c r="C131" i="1"/>
  <c r="D131" i="1"/>
  <c r="E131" i="1"/>
  <c r="F131" i="1"/>
  <c r="G131" i="1"/>
  <c r="H131" i="1"/>
  <c r="I131" i="1"/>
  <c r="J131" i="1"/>
  <c r="K131" i="1"/>
  <c r="L131" i="1"/>
  <c r="M131" i="1"/>
  <c r="N131" i="1"/>
  <c r="O131" i="1"/>
  <c r="P131" i="1"/>
  <c r="Q131" i="1"/>
  <c r="R131" i="1"/>
  <c r="S131" i="1"/>
  <c r="T131" i="1"/>
  <c r="C130" i="1"/>
  <c r="D130" i="1"/>
  <c r="E130" i="1"/>
  <c r="F130" i="1"/>
  <c r="G130" i="1"/>
  <c r="H130" i="1"/>
  <c r="I130" i="1"/>
  <c r="J130" i="1"/>
  <c r="K130" i="1"/>
  <c r="L130" i="1"/>
  <c r="M130" i="1"/>
  <c r="N130" i="1"/>
  <c r="O130" i="1"/>
  <c r="P130" i="1"/>
  <c r="Q130" i="1"/>
  <c r="R130" i="1"/>
  <c r="S130" i="1"/>
  <c r="T130" i="1"/>
  <c r="C129" i="1"/>
  <c r="D129" i="1"/>
  <c r="E129" i="1"/>
  <c r="F129" i="1"/>
  <c r="G129" i="1"/>
  <c r="H129" i="1"/>
  <c r="I129" i="1"/>
  <c r="J129" i="1"/>
  <c r="K129" i="1"/>
  <c r="L129" i="1"/>
  <c r="M129" i="1"/>
  <c r="N129" i="1"/>
  <c r="O129" i="1"/>
  <c r="P129" i="1"/>
  <c r="Q129" i="1"/>
  <c r="R129" i="1"/>
  <c r="S129" i="1"/>
  <c r="T129" i="1"/>
  <c r="C128" i="1"/>
  <c r="D128" i="1"/>
  <c r="E128" i="1"/>
  <c r="F128" i="1"/>
  <c r="G128" i="1"/>
  <c r="H128" i="1"/>
  <c r="I128" i="1"/>
  <c r="J128" i="1"/>
  <c r="K128" i="1"/>
  <c r="L128" i="1"/>
  <c r="M128" i="1"/>
  <c r="N128" i="1"/>
  <c r="O128" i="1"/>
  <c r="P128" i="1"/>
  <c r="Q128" i="1"/>
  <c r="R128" i="1"/>
  <c r="S128" i="1"/>
  <c r="T128" i="1"/>
  <c r="BI824" i="1"/>
  <c r="BI825" i="1"/>
  <c r="BI826" i="1"/>
  <c r="BI827" i="1"/>
  <c r="BI828" i="1"/>
  <c r="BI829" i="1"/>
  <c r="BI830" i="1"/>
  <c r="BI831" i="1"/>
  <c r="BI832" i="1"/>
  <c r="BI833" i="1"/>
  <c r="BI834" i="1"/>
  <c r="BI835" i="1"/>
  <c r="BI836" i="1"/>
  <c r="C127" i="1"/>
  <c r="D127" i="1"/>
  <c r="E127" i="1"/>
  <c r="F127" i="1"/>
  <c r="G127" i="1"/>
  <c r="H127" i="1"/>
  <c r="I127" i="1"/>
  <c r="J127" i="1"/>
  <c r="K127" i="1"/>
  <c r="L127" i="1"/>
  <c r="M127" i="1"/>
  <c r="N127" i="1"/>
  <c r="O127" i="1"/>
  <c r="P127" i="1"/>
  <c r="Q127" i="1"/>
  <c r="R127" i="1"/>
  <c r="S127" i="1"/>
  <c r="T127" i="1"/>
  <c r="C126" i="1"/>
  <c r="D126" i="1"/>
  <c r="E126" i="1"/>
  <c r="F126" i="1"/>
  <c r="G126" i="1"/>
  <c r="H126" i="1"/>
  <c r="I126" i="1"/>
  <c r="J126" i="1"/>
  <c r="K126" i="1"/>
  <c r="L126" i="1"/>
  <c r="M126" i="1"/>
  <c r="N126" i="1"/>
  <c r="O126" i="1"/>
  <c r="P126" i="1"/>
  <c r="Q126" i="1"/>
  <c r="R126" i="1"/>
  <c r="S126" i="1"/>
  <c r="T126" i="1"/>
  <c r="C125" i="1"/>
  <c r="D125" i="1"/>
  <c r="E125" i="1"/>
  <c r="F125" i="1"/>
  <c r="G125" i="1"/>
  <c r="H125" i="1"/>
  <c r="I125" i="1"/>
  <c r="J125" i="1"/>
  <c r="K125" i="1"/>
  <c r="L125" i="1"/>
  <c r="M125" i="1"/>
  <c r="N125" i="1"/>
  <c r="O125" i="1"/>
  <c r="P125" i="1"/>
  <c r="Q125" i="1"/>
  <c r="R125" i="1"/>
  <c r="S125" i="1"/>
  <c r="T125" i="1"/>
  <c r="C124" i="1"/>
  <c r="D124" i="1"/>
  <c r="E124" i="1"/>
  <c r="F124" i="1"/>
  <c r="G124" i="1"/>
  <c r="H124" i="1"/>
  <c r="I124" i="1"/>
  <c r="J124" i="1"/>
  <c r="K124" i="1"/>
  <c r="L124" i="1"/>
  <c r="M124" i="1"/>
  <c r="N124" i="1"/>
  <c r="O124" i="1"/>
  <c r="P124" i="1"/>
  <c r="Q124" i="1"/>
  <c r="R124" i="1"/>
  <c r="S124" i="1"/>
  <c r="T124" i="1"/>
  <c r="C123" i="1"/>
  <c r="D123" i="1"/>
  <c r="E123" i="1"/>
  <c r="F123" i="1"/>
  <c r="G123" i="1"/>
  <c r="H123" i="1"/>
  <c r="I123" i="1"/>
  <c r="J123" i="1"/>
  <c r="K123" i="1"/>
  <c r="L123" i="1"/>
  <c r="M123" i="1"/>
  <c r="N123" i="1"/>
  <c r="O123" i="1"/>
  <c r="P123" i="1"/>
  <c r="Q123" i="1"/>
  <c r="R123" i="1"/>
  <c r="S123" i="1"/>
  <c r="T123" i="1"/>
  <c r="C122" i="1"/>
  <c r="D122" i="1"/>
  <c r="E122" i="1"/>
  <c r="F122" i="1"/>
  <c r="G122" i="1"/>
  <c r="H122" i="1"/>
  <c r="I122" i="1"/>
  <c r="J122" i="1"/>
  <c r="K122" i="1"/>
  <c r="L122" i="1"/>
  <c r="M122" i="1"/>
  <c r="N122" i="1"/>
  <c r="O122" i="1"/>
  <c r="P122" i="1"/>
  <c r="Q122" i="1"/>
  <c r="R122" i="1"/>
  <c r="S122" i="1"/>
  <c r="T122" i="1"/>
  <c r="C121" i="1"/>
  <c r="D121" i="1"/>
  <c r="E121" i="1"/>
  <c r="F121" i="1"/>
  <c r="G121" i="1"/>
  <c r="H121" i="1"/>
  <c r="I121" i="1"/>
  <c r="J121" i="1"/>
  <c r="K121" i="1"/>
  <c r="L121" i="1"/>
  <c r="M121" i="1"/>
  <c r="N121" i="1"/>
  <c r="O121" i="1"/>
  <c r="P121" i="1"/>
  <c r="Q121" i="1"/>
  <c r="R121" i="1"/>
  <c r="S121" i="1"/>
  <c r="T121" i="1"/>
  <c r="C120" i="1"/>
  <c r="D120" i="1"/>
  <c r="E120" i="1"/>
  <c r="F120" i="1"/>
  <c r="G120" i="1"/>
  <c r="H120" i="1"/>
  <c r="I120" i="1"/>
  <c r="J120" i="1"/>
  <c r="K120" i="1"/>
  <c r="L120" i="1"/>
  <c r="M120" i="1"/>
  <c r="N120" i="1"/>
  <c r="O120" i="1"/>
  <c r="P120" i="1"/>
  <c r="Q120" i="1"/>
  <c r="R120" i="1"/>
  <c r="S120" i="1"/>
  <c r="T120" i="1"/>
  <c r="C119" i="1"/>
  <c r="D119" i="1"/>
  <c r="E119" i="1"/>
  <c r="F119" i="1"/>
  <c r="G119" i="1"/>
  <c r="H119" i="1"/>
  <c r="I119" i="1"/>
  <c r="J119" i="1"/>
  <c r="K119" i="1"/>
  <c r="L119" i="1"/>
  <c r="M119" i="1"/>
  <c r="N119" i="1"/>
  <c r="O119" i="1"/>
  <c r="P119" i="1"/>
  <c r="Q119" i="1"/>
  <c r="R119" i="1"/>
  <c r="S119" i="1"/>
  <c r="T119" i="1"/>
  <c r="C118" i="1"/>
  <c r="D118" i="1"/>
  <c r="E118" i="1"/>
  <c r="F118" i="1"/>
  <c r="G118" i="1"/>
  <c r="H118" i="1"/>
  <c r="I118" i="1"/>
  <c r="J118" i="1"/>
  <c r="K118" i="1"/>
  <c r="L118" i="1"/>
  <c r="M118" i="1"/>
  <c r="N118" i="1"/>
  <c r="O118" i="1"/>
  <c r="P118" i="1"/>
  <c r="Q118" i="1"/>
  <c r="R118" i="1"/>
  <c r="S118" i="1"/>
  <c r="T118" i="1"/>
  <c r="C117" i="1"/>
  <c r="D117" i="1"/>
  <c r="E117" i="1"/>
  <c r="F117" i="1"/>
  <c r="G117" i="1"/>
  <c r="H117" i="1"/>
  <c r="I117" i="1"/>
  <c r="J117" i="1"/>
  <c r="K117" i="1"/>
  <c r="L117" i="1"/>
  <c r="M117" i="1"/>
  <c r="N117" i="1"/>
  <c r="O117" i="1"/>
  <c r="P117" i="1"/>
  <c r="Q117" i="1"/>
  <c r="R117" i="1"/>
  <c r="S117" i="1"/>
  <c r="T117" i="1"/>
  <c r="C116" i="1"/>
  <c r="D116" i="1"/>
  <c r="E116" i="1"/>
  <c r="F116" i="1"/>
  <c r="G116" i="1"/>
  <c r="H116" i="1"/>
  <c r="I116" i="1"/>
  <c r="J116" i="1"/>
  <c r="K116" i="1"/>
  <c r="L116" i="1"/>
  <c r="M116" i="1"/>
  <c r="N116" i="1"/>
  <c r="O116" i="1"/>
  <c r="P116" i="1"/>
  <c r="Q116" i="1"/>
  <c r="R116" i="1"/>
  <c r="S116" i="1"/>
  <c r="T116" i="1"/>
  <c r="C115" i="1"/>
  <c r="B161" i="1"/>
  <c r="B162" i="1"/>
  <c r="B163" i="1"/>
  <c r="B164" i="1"/>
  <c r="B165" i="1"/>
  <c r="B166" i="1"/>
  <c r="B167" i="1"/>
  <c r="B168" i="1"/>
  <c r="B169" i="1"/>
  <c r="B170" i="1"/>
  <c r="B171" i="1"/>
  <c r="B172" i="1"/>
  <c r="B173" i="1"/>
  <c r="D115" i="1"/>
  <c r="E115" i="1"/>
  <c r="F115" i="1"/>
  <c r="G115" i="1"/>
  <c r="H115" i="1"/>
  <c r="I115" i="1"/>
  <c r="J115" i="1"/>
  <c r="K115" i="1"/>
  <c r="L115" i="1"/>
  <c r="M115" i="1"/>
  <c r="N115" i="1"/>
  <c r="O115" i="1"/>
  <c r="P115" i="1"/>
  <c r="Q115" i="1"/>
  <c r="R115" i="1"/>
  <c r="S115" i="1"/>
  <c r="T115" i="1"/>
  <c r="B574" i="1"/>
  <c r="B575" i="1"/>
  <c r="B576" i="1"/>
  <c r="B577" i="1"/>
  <c r="B578" i="1"/>
  <c r="B579" i="1"/>
  <c r="B580" i="1"/>
  <c r="B581" i="1"/>
  <c r="B582" i="1"/>
  <c r="B583" i="1"/>
  <c r="B584" i="1"/>
  <c r="B585" i="1"/>
  <c r="B586" i="1"/>
  <c r="B102" i="1"/>
  <c r="B103" i="1"/>
  <c r="B104" i="1"/>
  <c r="B105" i="1"/>
  <c r="B106" i="1"/>
  <c r="B107" i="1"/>
  <c r="B108" i="1"/>
  <c r="B109" i="1"/>
  <c r="B110" i="1"/>
  <c r="B111" i="1"/>
  <c r="B112" i="1"/>
  <c r="B113" i="1"/>
  <c r="B114" i="1"/>
  <c r="C114" i="1"/>
  <c r="D114" i="1"/>
  <c r="E114" i="1"/>
  <c r="F114" i="1"/>
  <c r="G114" i="1"/>
  <c r="H114" i="1"/>
  <c r="I114" i="1"/>
  <c r="J114" i="1"/>
  <c r="K114" i="1"/>
  <c r="L114" i="1"/>
  <c r="M114" i="1"/>
  <c r="N114" i="1"/>
  <c r="O114" i="1"/>
  <c r="P114" i="1"/>
  <c r="Q114" i="1"/>
  <c r="R114" i="1"/>
  <c r="S114" i="1"/>
  <c r="T114" i="1"/>
  <c r="BI810" i="1"/>
  <c r="BI811" i="1"/>
  <c r="BI812" i="1"/>
  <c r="BI813" i="1"/>
  <c r="BI814" i="1"/>
  <c r="BI815" i="1"/>
  <c r="BI816" i="1"/>
  <c r="BI817" i="1"/>
  <c r="BI818" i="1"/>
  <c r="BI819" i="1"/>
  <c r="BI820" i="1"/>
  <c r="BI821" i="1"/>
  <c r="BI822" i="1"/>
  <c r="C113" i="1"/>
  <c r="D113" i="1"/>
  <c r="E113" i="1"/>
  <c r="F113" i="1"/>
  <c r="G113" i="1"/>
  <c r="H113" i="1"/>
  <c r="I113" i="1"/>
  <c r="J113" i="1"/>
  <c r="K113" i="1"/>
  <c r="L113" i="1"/>
  <c r="M113" i="1"/>
  <c r="N113" i="1"/>
  <c r="O113" i="1"/>
  <c r="P113" i="1"/>
  <c r="Q113" i="1"/>
  <c r="R113" i="1"/>
  <c r="S113" i="1"/>
  <c r="T113" i="1"/>
  <c r="C112" i="1"/>
  <c r="D112" i="1"/>
  <c r="E112" i="1"/>
  <c r="F112" i="1"/>
  <c r="G112" i="1"/>
  <c r="H112" i="1"/>
  <c r="I112" i="1"/>
  <c r="J112" i="1"/>
  <c r="K112" i="1"/>
  <c r="L112" i="1"/>
  <c r="M112" i="1"/>
  <c r="N112" i="1"/>
  <c r="O112" i="1"/>
  <c r="P112" i="1"/>
  <c r="Q112" i="1"/>
  <c r="R112" i="1"/>
  <c r="S112" i="1"/>
  <c r="T112" i="1"/>
  <c r="C111" i="1"/>
  <c r="D111" i="1"/>
  <c r="E111" i="1"/>
  <c r="F111" i="1"/>
  <c r="G111" i="1"/>
  <c r="H111" i="1"/>
  <c r="I111" i="1"/>
  <c r="J111" i="1"/>
  <c r="K111" i="1"/>
  <c r="L111" i="1"/>
  <c r="M111" i="1"/>
  <c r="N111" i="1"/>
  <c r="O111" i="1"/>
  <c r="P111" i="1"/>
  <c r="Q111" i="1"/>
  <c r="R111" i="1"/>
  <c r="S111" i="1"/>
  <c r="T111" i="1"/>
  <c r="C110" i="1"/>
  <c r="D110" i="1"/>
  <c r="E110" i="1"/>
  <c r="F110" i="1"/>
  <c r="G110" i="1"/>
  <c r="H110" i="1"/>
  <c r="I110" i="1"/>
  <c r="J110" i="1"/>
  <c r="K110" i="1"/>
  <c r="L110" i="1"/>
  <c r="M110" i="1"/>
  <c r="N110" i="1"/>
  <c r="O110" i="1"/>
  <c r="P110" i="1"/>
  <c r="Q110" i="1"/>
  <c r="R110" i="1"/>
  <c r="S110" i="1"/>
  <c r="T110" i="1"/>
  <c r="C109" i="1"/>
  <c r="D109" i="1"/>
  <c r="E109" i="1"/>
  <c r="F109" i="1"/>
  <c r="G109" i="1"/>
  <c r="H109" i="1"/>
  <c r="I109" i="1"/>
  <c r="J109" i="1"/>
  <c r="K109" i="1"/>
  <c r="L109" i="1"/>
  <c r="M109" i="1"/>
  <c r="N109" i="1"/>
  <c r="O109" i="1"/>
  <c r="P109" i="1"/>
  <c r="Q109" i="1"/>
  <c r="R109" i="1"/>
  <c r="S109" i="1"/>
  <c r="T109" i="1"/>
  <c r="C108" i="1"/>
  <c r="D108" i="1"/>
  <c r="E108" i="1"/>
  <c r="F108" i="1"/>
  <c r="G108" i="1"/>
  <c r="H108" i="1"/>
  <c r="I108" i="1"/>
  <c r="J108" i="1"/>
  <c r="K108" i="1"/>
  <c r="L108" i="1"/>
  <c r="M108" i="1"/>
  <c r="N108" i="1"/>
  <c r="O108" i="1"/>
  <c r="P108" i="1"/>
  <c r="Q108" i="1"/>
  <c r="R108" i="1"/>
  <c r="S108" i="1"/>
  <c r="T108" i="1"/>
  <c r="C107" i="1"/>
  <c r="D107" i="1"/>
  <c r="E107" i="1"/>
  <c r="F107" i="1"/>
  <c r="G107" i="1"/>
  <c r="H107" i="1"/>
  <c r="I107" i="1"/>
  <c r="J107" i="1"/>
  <c r="K107" i="1"/>
  <c r="L107" i="1"/>
  <c r="M107" i="1"/>
  <c r="N107" i="1"/>
  <c r="O107" i="1"/>
  <c r="P107" i="1"/>
  <c r="Q107" i="1"/>
  <c r="R107" i="1"/>
  <c r="S107" i="1"/>
  <c r="T107" i="1"/>
  <c r="C106" i="1"/>
  <c r="D106" i="1"/>
  <c r="E106" i="1"/>
  <c r="F106" i="1"/>
  <c r="G106" i="1"/>
  <c r="H106" i="1"/>
  <c r="I106" i="1"/>
  <c r="J106" i="1"/>
  <c r="K106" i="1"/>
  <c r="L106" i="1"/>
  <c r="M106" i="1"/>
  <c r="N106" i="1"/>
  <c r="O106" i="1"/>
  <c r="P106" i="1"/>
  <c r="Q106" i="1"/>
  <c r="R106" i="1"/>
  <c r="S106" i="1"/>
  <c r="T106" i="1"/>
  <c r="C105" i="1"/>
  <c r="D105" i="1"/>
  <c r="E105" i="1"/>
  <c r="F105" i="1"/>
  <c r="G105" i="1"/>
  <c r="H105" i="1"/>
  <c r="I105" i="1"/>
  <c r="J105" i="1"/>
  <c r="K105" i="1"/>
  <c r="L105" i="1"/>
  <c r="M105" i="1"/>
  <c r="N105" i="1"/>
  <c r="O105" i="1"/>
  <c r="P105" i="1"/>
  <c r="Q105" i="1"/>
  <c r="R105" i="1"/>
  <c r="S105" i="1"/>
  <c r="T105" i="1"/>
  <c r="C104" i="1"/>
  <c r="D104" i="1"/>
  <c r="E104" i="1"/>
  <c r="F104" i="1"/>
  <c r="G104" i="1"/>
  <c r="H104" i="1"/>
  <c r="I104" i="1"/>
  <c r="J104" i="1"/>
  <c r="K104" i="1"/>
  <c r="L104" i="1"/>
  <c r="M104" i="1"/>
  <c r="N104" i="1"/>
  <c r="O104" i="1"/>
  <c r="P104" i="1"/>
  <c r="Q104" i="1"/>
  <c r="R104" i="1"/>
  <c r="S104" i="1"/>
  <c r="T104" i="1"/>
  <c r="C103" i="1"/>
  <c r="D103" i="1"/>
  <c r="E103" i="1"/>
  <c r="F103" i="1"/>
  <c r="G103" i="1"/>
  <c r="H103" i="1"/>
  <c r="I103" i="1"/>
  <c r="J103" i="1"/>
  <c r="K103" i="1"/>
  <c r="L103" i="1"/>
  <c r="M103" i="1"/>
  <c r="N103" i="1"/>
  <c r="O103" i="1"/>
  <c r="P103" i="1"/>
  <c r="Q103" i="1"/>
  <c r="R103" i="1"/>
  <c r="S103" i="1"/>
  <c r="T103" i="1"/>
  <c r="C102" i="1"/>
  <c r="D102" i="1"/>
  <c r="E102" i="1"/>
  <c r="F102" i="1"/>
  <c r="G102" i="1"/>
  <c r="H102" i="1"/>
  <c r="I102" i="1"/>
  <c r="J102" i="1"/>
  <c r="K102" i="1"/>
  <c r="L102" i="1"/>
  <c r="M102" i="1"/>
  <c r="N102" i="1"/>
  <c r="O102" i="1"/>
  <c r="P102" i="1"/>
  <c r="Q102" i="1"/>
  <c r="R102" i="1"/>
  <c r="S102" i="1"/>
  <c r="T102" i="1"/>
  <c r="C101" i="1"/>
  <c r="B147" i="1"/>
  <c r="B148" i="1"/>
  <c r="B149" i="1"/>
  <c r="B150" i="1"/>
  <c r="B151" i="1"/>
  <c r="B152" i="1"/>
  <c r="B153" i="1"/>
  <c r="B154" i="1"/>
  <c r="B155" i="1"/>
  <c r="B156" i="1"/>
  <c r="B157" i="1"/>
  <c r="B158" i="1"/>
  <c r="B159" i="1"/>
  <c r="D101" i="1"/>
  <c r="E101" i="1"/>
  <c r="F101" i="1"/>
  <c r="G101" i="1"/>
  <c r="H101" i="1"/>
  <c r="I101" i="1"/>
  <c r="J101" i="1"/>
  <c r="K101" i="1"/>
  <c r="L101" i="1"/>
  <c r="M101" i="1"/>
  <c r="N101" i="1"/>
  <c r="O101" i="1"/>
  <c r="P101" i="1"/>
  <c r="Q101" i="1"/>
  <c r="R101" i="1"/>
  <c r="S101" i="1"/>
  <c r="T101" i="1"/>
  <c r="B560" i="1"/>
  <c r="B561" i="1"/>
  <c r="B562" i="1"/>
  <c r="B563" i="1"/>
  <c r="B564" i="1"/>
  <c r="B565" i="1"/>
  <c r="B566" i="1"/>
  <c r="B567" i="1"/>
  <c r="B568" i="1"/>
  <c r="B569" i="1"/>
  <c r="B570" i="1"/>
  <c r="B571" i="1"/>
  <c r="B572" i="1"/>
  <c r="B88" i="1"/>
  <c r="B89" i="1"/>
  <c r="B90" i="1"/>
  <c r="B91" i="1"/>
  <c r="B92" i="1"/>
  <c r="B93" i="1"/>
  <c r="B94" i="1"/>
  <c r="B95" i="1"/>
  <c r="B96" i="1"/>
  <c r="B97" i="1"/>
  <c r="B98" i="1"/>
  <c r="B99" i="1"/>
  <c r="B100" i="1"/>
  <c r="C100" i="1"/>
  <c r="D100" i="1"/>
  <c r="E100" i="1"/>
  <c r="F100" i="1"/>
  <c r="G100" i="1"/>
  <c r="H100" i="1"/>
  <c r="I100" i="1"/>
  <c r="J100" i="1"/>
  <c r="K100" i="1"/>
  <c r="L100" i="1"/>
  <c r="M100" i="1"/>
  <c r="N100" i="1"/>
  <c r="O100" i="1"/>
  <c r="P100" i="1"/>
  <c r="Q100" i="1"/>
  <c r="R100" i="1"/>
  <c r="S100" i="1"/>
  <c r="T100" i="1"/>
  <c r="BI796" i="1"/>
  <c r="BI797" i="1"/>
  <c r="BI798" i="1"/>
  <c r="BI799" i="1"/>
  <c r="BI800" i="1"/>
  <c r="BI801" i="1"/>
  <c r="BI802" i="1"/>
  <c r="BI803" i="1"/>
  <c r="BI804" i="1"/>
  <c r="BI805" i="1"/>
  <c r="BI806" i="1"/>
  <c r="BI807" i="1"/>
  <c r="BI808" i="1"/>
  <c r="C99" i="1"/>
  <c r="D99" i="1"/>
  <c r="E99" i="1"/>
  <c r="F99" i="1"/>
  <c r="G99" i="1"/>
  <c r="H99" i="1"/>
  <c r="I99" i="1"/>
  <c r="J99" i="1"/>
  <c r="K99" i="1"/>
  <c r="L99" i="1"/>
  <c r="M99" i="1"/>
  <c r="N99" i="1"/>
  <c r="O99" i="1"/>
  <c r="P99" i="1"/>
  <c r="Q99" i="1"/>
  <c r="R99" i="1"/>
  <c r="S99" i="1"/>
  <c r="T99" i="1"/>
  <c r="C98" i="1"/>
  <c r="D98" i="1"/>
  <c r="E98" i="1"/>
  <c r="F98" i="1"/>
  <c r="G98" i="1"/>
  <c r="H98" i="1"/>
  <c r="I98" i="1"/>
  <c r="J98" i="1"/>
  <c r="K98" i="1"/>
  <c r="L98" i="1"/>
  <c r="M98" i="1"/>
  <c r="N98" i="1"/>
  <c r="O98" i="1"/>
  <c r="P98" i="1"/>
  <c r="Q98" i="1"/>
  <c r="R98" i="1"/>
  <c r="S98" i="1"/>
  <c r="T98" i="1"/>
  <c r="C97" i="1"/>
  <c r="D97" i="1"/>
  <c r="E97" i="1"/>
  <c r="F97" i="1"/>
  <c r="G97" i="1"/>
  <c r="H97" i="1"/>
  <c r="I97" i="1"/>
  <c r="J97" i="1"/>
  <c r="K97" i="1"/>
  <c r="L97" i="1"/>
  <c r="M97" i="1"/>
  <c r="N97" i="1"/>
  <c r="O97" i="1"/>
  <c r="P97" i="1"/>
  <c r="Q97" i="1"/>
  <c r="R97" i="1"/>
  <c r="S97" i="1"/>
  <c r="T97" i="1"/>
  <c r="C96" i="1"/>
  <c r="D96" i="1"/>
  <c r="E96" i="1"/>
  <c r="F96" i="1"/>
  <c r="G96" i="1"/>
  <c r="H96" i="1"/>
  <c r="I96" i="1"/>
  <c r="J96" i="1"/>
  <c r="K96" i="1"/>
  <c r="L96" i="1"/>
  <c r="M96" i="1"/>
  <c r="N96" i="1"/>
  <c r="O96" i="1"/>
  <c r="P96" i="1"/>
  <c r="Q96" i="1"/>
  <c r="R96" i="1"/>
  <c r="S96" i="1"/>
  <c r="T96" i="1"/>
  <c r="C95" i="1"/>
  <c r="D95" i="1"/>
  <c r="E95" i="1"/>
  <c r="F95" i="1"/>
  <c r="G95" i="1"/>
  <c r="H95" i="1"/>
  <c r="I95" i="1"/>
  <c r="J95" i="1"/>
  <c r="K95" i="1"/>
  <c r="L95" i="1"/>
  <c r="M95" i="1"/>
  <c r="N95" i="1"/>
  <c r="O95" i="1"/>
  <c r="P95" i="1"/>
  <c r="Q95" i="1"/>
  <c r="R95" i="1"/>
  <c r="S95" i="1"/>
  <c r="T95" i="1"/>
  <c r="C94" i="1"/>
  <c r="D94" i="1"/>
  <c r="E94" i="1"/>
  <c r="F94" i="1"/>
  <c r="G94" i="1"/>
  <c r="H94" i="1"/>
  <c r="I94" i="1"/>
  <c r="J94" i="1"/>
  <c r="K94" i="1"/>
  <c r="L94" i="1"/>
  <c r="M94" i="1"/>
  <c r="N94" i="1"/>
  <c r="O94" i="1"/>
  <c r="P94" i="1"/>
  <c r="Q94" i="1"/>
  <c r="R94" i="1"/>
  <c r="S94" i="1"/>
  <c r="T94" i="1"/>
  <c r="C93" i="1"/>
  <c r="D93" i="1"/>
  <c r="E93" i="1"/>
  <c r="F93" i="1"/>
  <c r="G93" i="1"/>
  <c r="H93" i="1"/>
  <c r="I93" i="1"/>
  <c r="J93" i="1"/>
  <c r="K93" i="1"/>
  <c r="L93" i="1"/>
  <c r="M93" i="1"/>
  <c r="N93" i="1"/>
  <c r="O93" i="1"/>
  <c r="P93" i="1"/>
  <c r="Q93" i="1"/>
  <c r="R93" i="1"/>
  <c r="S93" i="1"/>
  <c r="T93" i="1"/>
  <c r="C92" i="1"/>
  <c r="D92" i="1"/>
  <c r="E92" i="1"/>
  <c r="F92" i="1"/>
  <c r="G92" i="1"/>
  <c r="H92" i="1"/>
  <c r="I92" i="1"/>
  <c r="J92" i="1"/>
  <c r="K92" i="1"/>
  <c r="L92" i="1"/>
  <c r="M92" i="1"/>
  <c r="N92" i="1"/>
  <c r="O92" i="1"/>
  <c r="P92" i="1"/>
  <c r="Q92" i="1"/>
  <c r="R92" i="1"/>
  <c r="S92" i="1"/>
  <c r="T92" i="1"/>
  <c r="C91" i="1"/>
  <c r="D91" i="1"/>
  <c r="E91" i="1"/>
  <c r="F91" i="1"/>
  <c r="G91" i="1"/>
  <c r="H91" i="1"/>
  <c r="I91" i="1"/>
  <c r="J91" i="1"/>
  <c r="K91" i="1"/>
  <c r="L91" i="1"/>
  <c r="M91" i="1"/>
  <c r="N91" i="1"/>
  <c r="O91" i="1"/>
  <c r="P91" i="1"/>
  <c r="Q91" i="1"/>
  <c r="R91" i="1"/>
  <c r="S91" i="1"/>
  <c r="T91" i="1"/>
  <c r="C90" i="1"/>
  <c r="D90" i="1"/>
  <c r="E90" i="1"/>
  <c r="F90" i="1"/>
  <c r="G90" i="1"/>
  <c r="H90" i="1"/>
  <c r="I90" i="1"/>
  <c r="J90" i="1"/>
  <c r="K90" i="1"/>
  <c r="L90" i="1"/>
  <c r="M90" i="1"/>
  <c r="N90" i="1"/>
  <c r="O90" i="1"/>
  <c r="P90" i="1"/>
  <c r="Q90" i="1"/>
  <c r="R90" i="1"/>
  <c r="S90" i="1"/>
  <c r="T90" i="1"/>
  <c r="C89" i="1"/>
  <c r="D89" i="1"/>
  <c r="E89" i="1"/>
  <c r="F89" i="1"/>
  <c r="G89" i="1"/>
  <c r="H89" i="1"/>
  <c r="I89" i="1"/>
  <c r="J89" i="1"/>
  <c r="K89" i="1"/>
  <c r="L89" i="1"/>
  <c r="M89" i="1"/>
  <c r="N89" i="1"/>
  <c r="O89" i="1"/>
  <c r="P89" i="1"/>
  <c r="Q89" i="1"/>
  <c r="R89" i="1"/>
  <c r="S89" i="1"/>
  <c r="T89" i="1"/>
  <c r="C88" i="1"/>
  <c r="D88" i="1"/>
  <c r="E88" i="1"/>
  <c r="F88" i="1"/>
  <c r="G88" i="1"/>
  <c r="H88" i="1"/>
  <c r="I88" i="1"/>
  <c r="J88" i="1"/>
  <c r="K88" i="1"/>
  <c r="L88" i="1"/>
  <c r="M88" i="1"/>
  <c r="N88" i="1"/>
  <c r="O88" i="1"/>
  <c r="P88" i="1"/>
  <c r="Q88" i="1"/>
  <c r="R88" i="1"/>
  <c r="S88" i="1"/>
  <c r="T88" i="1"/>
  <c r="C87" i="1"/>
  <c r="D87" i="1"/>
  <c r="E87" i="1"/>
  <c r="F87" i="1"/>
  <c r="G87" i="1"/>
  <c r="H87" i="1"/>
  <c r="I87" i="1"/>
  <c r="J87" i="1"/>
  <c r="K87" i="1"/>
  <c r="L87" i="1"/>
  <c r="M87" i="1"/>
  <c r="N87" i="1"/>
  <c r="O87" i="1"/>
  <c r="P87" i="1"/>
  <c r="Q87" i="1"/>
  <c r="R87" i="1"/>
  <c r="S87" i="1"/>
  <c r="T87" i="1"/>
  <c r="BI897" i="1"/>
  <c r="BI898" i="1"/>
  <c r="BI899" i="1"/>
  <c r="BI900" i="1"/>
  <c r="BI901" i="1"/>
  <c r="BI902" i="1"/>
  <c r="BI903" i="1"/>
  <c r="BI904" i="1"/>
  <c r="BI905" i="1"/>
  <c r="BI906" i="1"/>
  <c r="BI907" i="1"/>
  <c r="BI908" i="1"/>
  <c r="BI909" i="1"/>
  <c r="BI883" i="1"/>
  <c r="BI884" i="1"/>
  <c r="BI885" i="1"/>
  <c r="BI886" i="1"/>
  <c r="BI887" i="1"/>
  <c r="BI888" i="1"/>
  <c r="BI889" i="1"/>
  <c r="BI890" i="1"/>
  <c r="BI891" i="1"/>
  <c r="BI892" i="1"/>
  <c r="BI893" i="1"/>
  <c r="BI894" i="1"/>
  <c r="BI895" i="1"/>
  <c r="B220" i="1"/>
  <c r="B221" i="1"/>
  <c r="B222" i="1"/>
  <c r="B223" i="1"/>
  <c r="B224" i="1"/>
  <c r="B225" i="1"/>
  <c r="B226" i="1"/>
  <c r="B227" i="1"/>
  <c r="B228" i="1"/>
  <c r="B229" i="1"/>
  <c r="B230" i="1"/>
  <c r="B231" i="1"/>
  <c r="B232" i="1"/>
  <c r="BI869" i="1"/>
  <c r="BI870" i="1"/>
  <c r="BI871" i="1"/>
  <c r="BI872" i="1"/>
  <c r="BI873" i="1"/>
  <c r="BI874" i="1"/>
  <c r="BI875" i="1"/>
  <c r="BI876" i="1"/>
  <c r="BI877" i="1"/>
  <c r="BI878" i="1"/>
  <c r="BI879" i="1"/>
  <c r="BI880" i="1"/>
  <c r="BI881" i="1"/>
  <c r="B206" i="1"/>
  <c r="B207" i="1"/>
  <c r="B208" i="1"/>
  <c r="B209" i="1"/>
  <c r="B210" i="1"/>
  <c r="B211" i="1"/>
  <c r="B212" i="1"/>
  <c r="B213" i="1"/>
  <c r="B214" i="1"/>
  <c r="B215" i="1"/>
  <c r="B216" i="1"/>
  <c r="B217" i="1"/>
  <c r="B218" i="1"/>
  <c r="BI855" i="1"/>
  <c r="BI856" i="1"/>
  <c r="BI857" i="1"/>
  <c r="BI858" i="1"/>
  <c r="BI859" i="1"/>
  <c r="BI860" i="1"/>
  <c r="BI861" i="1"/>
  <c r="BI862" i="1"/>
  <c r="BI863" i="1"/>
  <c r="BI864" i="1"/>
  <c r="BI865" i="1"/>
  <c r="BI866" i="1"/>
  <c r="BI867" i="1"/>
  <c r="B751" i="1"/>
  <c r="B752" i="1"/>
  <c r="B753" i="1"/>
  <c r="B754" i="1"/>
  <c r="B755" i="1"/>
  <c r="B756" i="1"/>
  <c r="B757" i="1"/>
  <c r="B758" i="1"/>
  <c r="B759" i="1"/>
  <c r="B760" i="1"/>
  <c r="B761" i="1"/>
  <c r="B762" i="1"/>
  <c r="B763" i="1"/>
  <c r="B737" i="1"/>
  <c r="B738" i="1"/>
  <c r="B739" i="1"/>
  <c r="B740" i="1"/>
  <c r="B741" i="1"/>
  <c r="B742" i="1"/>
  <c r="B743" i="1"/>
  <c r="B744" i="1"/>
  <c r="B745" i="1"/>
  <c r="B746" i="1"/>
  <c r="B747" i="1"/>
  <c r="B748" i="1"/>
  <c r="B749" i="1"/>
  <c r="AP779" i="1"/>
  <c r="AP780" i="1"/>
  <c r="AP781" i="1"/>
  <c r="AP782" i="1"/>
  <c r="AP783" i="1"/>
  <c r="AP784" i="1"/>
  <c r="AP785" i="1"/>
  <c r="AP786" i="1"/>
  <c r="AP787" i="1"/>
  <c r="AP788" i="1"/>
  <c r="AP789" i="1"/>
  <c r="AP790" i="1"/>
  <c r="AP791" i="1"/>
  <c r="AP765" i="1"/>
  <c r="AP766" i="1"/>
  <c r="AP767" i="1"/>
  <c r="AP768" i="1"/>
  <c r="AP769" i="1"/>
  <c r="AP770" i="1"/>
  <c r="AP771" i="1"/>
  <c r="AP772" i="1"/>
  <c r="AP773" i="1"/>
  <c r="AP774" i="1"/>
  <c r="AP775" i="1"/>
  <c r="AP776" i="1"/>
  <c r="AP777" i="1"/>
  <c r="AP751" i="1"/>
  <c r="AP752" i="1"/>
  <c r="AP753" i="1"/>
  <c r="AP754" i="1"/>
  <c r="AP755" i="1"/>
  <c r="AP756" i="1"/>
  <c r="AP757" i="1"/>
  <c r="AP758" i="1"/>
  <c r="AP759" i="1"/>
  <c r="AP760" i="1"/>
  <c r="AP761" i="1"/>
  <c r="AP762" i="1"/>
  <c r="AP763" i="1"/>
  <c r="AP737" i="1"/>
  <c r="AP738" i="1"/>
  <c r="AP739" i="1"/>
  <c r="AP740" i="1"/>
  <c r="AP741" i="1"/>
  <c r="AP742" i="1"/>
  <c r="AP743" i="1"/>
  <c r="AP744" i="1"/>
  <c r="AP745" i="1"/>
  <c r="AP746" i="1"/>
  <c r="AP747" i="1"/>
  <c r="AP748" i="1"/>
  <c r="AP749" i="1"/>
  <c r="BI720" i="1"/>
  <c r="BI721" i="1"/>
  <c r="BI722" i="1"/>
  <c r="BI723" i="1"/>
  <c r="BI724" i="1"/>
  <c r="BI725" i="1"/>
  <c r="BI726" i="1"/>
  <c r="BI727" i="1"/>
  <c r="BI728" i="1"/>
  <c r="BI729" i="1"/>
  <c r="BI730" i="1"/>
  <c r="BI731" i="1"/>
  <c r="BI732" i="1"/>
  <c r="BI706" i="1"/>
  <c r="BI707" i="1"/>
  <c r="BI708" i="1"/>
  <c r="BI709" i="1"/>
  <c r="BI710" i="1"/>
  <c r="BI711" i="1"/>
  <c r="BI712" i="1"/>
  <c r="BI713" i="1"/>
  <c r="BI714" i="1"/>
  <c r="BI715" i="1"/>
  <c r="BI716" i="1"/>
  <c r="BI717" i="1"/>
  <c r="BI718" i="1"/>
  <c r="BI692" i="1"/>
  <c r="BI693" i="1"/>
  <c r="BI694" i="1"/>
  <c r="BI695" i="1"/>
  <c r="BI696" i="1"/>
  <c r="BI697" i="1"/>
  <c r="BI698" i="1"/>
  <c r="BI699" i="1"/>
  <c r="BI700" i="1"/>
  <c r="BI701" i="1"/>
  <c r="BI702" i="1"/>
  <c r="BI703" i="1"/>
  <c r="BI704" i="1"/>
  <c r="BI678" i="1"/>
  <c r="BI679" i="1"/>
  <c r="BI680" i="1"/>
  <c r="BI681" i="1"/>
  <c r="BI682" i="1"/>
  <c r="BI683" i="1"/>
  <c r="BI684" i="1"/>
  <c r="BI685" i="1"/>
  <c r="BI686" i="1"/>
  <c r="BI687" i="1"/>
  <c r="BI688" i="1"/>
  <c r="BI689" i="1"/>
  <c r="BI690" i="1"/>
  <c r="BI602" i="1"/>
  <c r="BI603" i="1"/>
  <c r="BI604" i="1"/>
  <c r="BI605" i="1"/>
  <c r="BI606" i="1"/>
  <c r="BI607" i="1"/>
  <c r="BI608" i="1"/>
  <c r="BI609" i="1"/>
  <c r="BI610" i="1"/>
  <c r="BI611" i="1"/>
  <c r="BI612" i="1"/>
  <c r="BI613" i="1"/>
  <c r="BI614" i="1"/>
  <c r="BI588" i="1"/>
  <c r="BI589" i="1"/>
  <c r="BI590" i="1"/>
  <c r="BI591" i="1"/>
  <c r="BI592" i="1"/>
  <c r="BI593" i="1"/>
  <c r="BI594" i="1"/>
  <c r="BI595" i="1"/>
  <c r="BI596" i="1"/>
  <c r="BI597" i="1"/>
  <c r="BI598" i="1"/>
  <c r="BI599" i="1"/>
  <c r="BI600" i="1"/>
  <c r="BI574" i="1"/>
  <c r="BI575" i="1"/>
  <c r="BI576" i="1"/>
  <c r="BI577" i="1"/>
  <c r="BI578" i="1"/>
  <c r="BI579" i="1"/>
  <c r="BI580" i="1"/>
  <c r="BI581" i="1"/>
  <c r="BI582" i="1"/>
  <c r="BI583" i="1"/>
  <c r="BI584" i="1"/>
  <c r="BI585" i="1"/>
  <c r="BI586" i="1"/>
  <c r="BI560" i="1"/>
  <c r="BI561" i="1"/>
  <c r="BI562" i="1"/>
  <c r="BI563" i="1"/>
  <c r="BI564" i="1"/>
  <c r="BI565" i="1"/>
  <c r="BI566" i="1"/>
  <c r="BI567" i="1"/>
  <c r="BI568" i="1"/>
  <c r="BI569" i="1"/>
  <c r="BI570" i="1"/>
  <c r="BI571" i="1"/>
  <c r="BI572" i="1"/>
  <c r="AP543" i="1"/>
  <c r="AP544" i="1"/>
  <c r="AP545" i="1"/>
  <c r="AP546" i="1"/>
  <c r="AP547" i="1"/>
  <c r="AP548" i="1"/>
  <c r="AP549" i="1"/>
  <c r="AP550" i="1"/>
  <c r="AP551" i="1"/>
  <c r="AP552" i="1"/>
  <c r="AP553" i="1"/>
  <c r="AP554" i="1"/>
  <c r="AP555" i="1"/>
  <c r="AP529" i="1"/>
  <c r="AP530" i="1"/>
  <c r="AP531" i="1"/>
  <c r="AP532" i="1"/>
  <c r="AP533" i="1"/>
  <c r="AP534" i="1"/>
  <c r="AP535" i="1"/>
  <c r="AP536" i="1"/>
  <c r="AP537" i="1"/>
  <c r="AP538" i="1"/>
  <c r="AP539" i="1"/>
  <c r="AP540" i="1"/>
  <c r="AP541" i="1"/>
  <c r="AP515" i="1"/>
  <c r="AP516" i="1"/>
  <c r="AP517" i="1"/>
  <c r="AP518" i="1"/>
  <c r="AP519" i="1"/>
  <c r="AP520" i="1"/>
  <c r="AP521" i="1"/>
  <c r="AP522" i="1"/>
  <c r="AP523" i="1"/>
  <c r="AP524" i="1"/>
  <c r="AP525" i="1"/>
  <c r="AP526" i="1"/>
  <c r="AP527" i="1"/>
  <c r="AP501" i="1"/>
  <c r="AP502" i="1"/>
  <c r="AP503" i="1"/>
  <c r="AP504" i="1"/>
  <c r="AP505" i="1"/>
  <c r="AP506" i="1"/>
  <c r="AP507" i="1"/>
  <c r="AP508" i="1"/>
  <c r="AP509" i="1"/>
  <c r="AP510" i="1"/>
  <c r="AP511" i="1"/>
  <c r="AP512" i="1"/>
  <c r="AP513" i="1"/>
  <c r="BI425" i="1"/>
  <c r="BI426" i="1"/>
  <c r="BI427" i="1"/>
  <c r="BI428" i="1"/>
  <c r="BI429" i="1"/>
  <c r="BI430" i="1"/>
  <c r="BI431" i="1"/>
  <c r="BI432" i="1"/>
  <c r="BI433" i="1"/>
  <c r="BI434" i="1"/>
  <c r="BI435" i="1"/>
  <c r="BI436" i="1"/>
  <c r="BI437" i="1"/>
  <c r="BI411" i="1"/>
  <c r="BI412" i="1"/>
  <c r="BI413" i="1"/>
  <c r="BI414" i="1"/>
  <c r="BI415" i="1"/>
  <c r="BI416" i="1"/>
  <c r="BI417" i="1"/>
  <c r="BI418" i="1"/>
  <c r="BI419" i="1"/>
  <c r="BI420" i="1"/>
  <c r="BI421" i="1"/>
  <c r="BI422" i="1"/>
  <c r="BI423" i="1"/>
  <c r="BI397" i="1"/>
  <c r="BI398" i="1"/>
  <c r="BI399" i="1"/>
  <c r="BI400" i="1"/>
  <c r="BI401" i="1"/>
  <c r="BI402" i="1"/>
  <c r="BI403" i="1"/>
  <c r="BI404" i="1"/>
  <c r="BI405" i="1"/>
  <c r="BI406" i="1"/>
  <c r="BI407" i="1"/>
  <c r="BI408" i="1"/>
  <c r="BI409" i="1"/>
  <c r="BI383" i="1"/>
  <c r="BI384" i="1"/>
  <c r="BI385" i="1"/>
  <c r="BI386" i="1"/>
  <c r="BI387" i="1"/>
  <c r="BI388" i="1"/>
  <c r="BI389" i="1"/>
  <c r="BI390" i="1"/>
  <c r="BI391" i="1"/>
  <c r="BI392" i="1"/>
  <c r="BI393" i="1"/>
  <c r="BI394" i="1"/>
  <c r="BI395" i="1"/>
  <c r="AP484" i="1"/>
  <c r="AP485" i="1"/>
  <c r="AP486" i="1"/>
  <c r="AP487" i="1"/>
  <c r="AP488" i="1"/>
  <c r="AP489" i="1"/>
  <c r="AP490" i="1"/>
  <c r="AP491" i="1"/>
  <c r="AP492" i="1"/>
  <c r="AP493" i="1"/>
  <c r="AP494" i="1"/>
  <c r="AP495" i="1"/>
  <c r="AP496" i="1"/>
  <c r="AP470" i="1"/>
  <c r="AP471" i="1"/>
  <c r="AP472" i="1"/>
  <c r="AP473" i="1"/>
  <c r="AP474" i="1"/>
  <c r="AP475" i="1"/>
  <c r="AP476" i="1"/>
  <c r="AP477" i="1"/>
  <c r="AP478" i="1"/>
  <c r="AP479" i="1"/>
  <c r="AP480" i="1"/>
  <c r="AP481" i="1"/>
  <c r="AP482" i="1"/>
  <c r="AP456" i="1"/>
  <c r="AP457" i="1"/>
  <c r="AP458" i="1"/>
  <c r="AP459" i="1"/>
  <c r="AP460" i="1"/>
  <c r="AP461" i="1"/>
  <c r="AP462" i="1"/>
  <c r="AP463" i="1"/>
  <c r="AP464" i="1"/>
  <c r="AP465" i="1"/>
  <c r="AP466" i="1"/>
  <c r="AP467" i="1"/>
  <c r="AP468" i="1"/>
  <c r="AP442" i="1"/>
  <c r="AP443" i="1"/>
  <c r="AP444" i="1"/>
  <c r="AP445" i="1"/>
  <c r="AP446" i="1"/>
  <c r="AP447" i="1"/>
  <c r="AP448" i="1"/>
  <c r="AP449" i="1"/>
  <c r="AP450" i="1"/>
  <c r="AP451" i="1"/>
  <c r="AP452" i="1"/>
  <c r="AP453" i="1"/>
  <c r="AP454" i="1"/>
  <c r="U23" i="1"/>
  <c r="B42" i="1"/>
  <c r="B43" i="1"/>
  <c r="B44" i="1"/>
  <c r="B45" i="1"/>
  <c r="B46" i="1"/>
  <c r="B47" i="1"/>
  <c r="B48" i="1"/>
  <c r="B49" i="1"/>
  <c r="B50" i="1"/>
  <c r="B51" i="1"/>
  <c r="B52" i="1"/>
  <c r="B53" i="1"/>
  <c r="B54" i="1"/>
  <c r="B28" i="1"/>
  <c r="B29" i="1"/>
  <c r="B30" i="1"/>
  <c r="B31" i="1"/>
  <c r="B32" i="1"/>
  <c r="B33" i="1"/>
  <c r="B34" i="1"/>
  <c r="B35" i="1"/>
  <c r="B36" i="1"/>
  <c r="B37" i="1"/>
  <c r="B38" i="1"/>
  <c r="B39" i="1"/>
  <c r="B40" i="1"/>
  <c r="B869" i="1"/>
  <c r="B870" i="1"/>
  <c r="B871" i="1"/>
  <c r="B872" i="1"/>
  <c r="B873" i="1"/>
  <c r="B874" i="1"/>
  <c r="B875" i="1"/>
  <c r="B876" i="1"/>
  <c r="B877" i="1"/>
  <c r="B878" i="1"/>
  <c r="B879" i="1"/>
  <c r="B880" i="1"/>
  <c r="B881" i="1"/>
  <c r="B855" i="1"/>
  <c r="B856" i="1"/>
  <c r="B857" i="1"/>
  <c r="B858" i="1"/>
  <c r="B859" i="1"/>
  <c r="B860" i="1"/>
  <c r="B861" i="1"/>
  <c r="B862" i="1"/>
  <c r="B863" i="1"/>
  <c r="B864" i="1"/>
  <c r="B865" i="1"/>
  <c r="B866" i="1"/>
  <c r="B867" i="1"/>
  <c r="B810" i="1"/>
  <c r="B811" i="1"/>
  <c r="B812" i="1"/>
  <c r="B813" i="1"/>
  <c r="B814" i="1"/>
  <c r="B815" i="1"/>
  <c r="B816" i="1"/>
  <c r="B817" i="1"/>
  <c r="B818" i="1"/>
  <c r="B819" i="1"/>
  <c r="B820" i="1"/>
  <c r="B821" i="1"/>
  <c r="B822" i="1"/>
  <c r="B796" i="1"/>
  <c r="B797" i="1"/>
  <c r="B798" i="1"/>
  <c r="B799" i="1"/>
  <c r="B800" i="1"/>
  <c r="B801" i="1"/>
  <c r="B802" i="1"/>
  <c r="B803" i="1"/>
  <c r="B804" i="1"/>
  <c r="B805" i="1"/>
  <c r="B806" i="1"/>
  <c r="B807" i="1"/>
  <c r="B808" i="1"/>
  <c r="B692" i="1"/>
  <c r="B693" i="1"/>
  <c r="B694" i="1"/>
  <c r="B695" i="1"/>
  <c r="B696" i="1"/>
  <c r="B697" i="1"/>
  <c r="B698" i="1"/>
  <c r="B699" i="1"/>
  <c r="B700" i="1"/>
  <c r="B701" i="1"/>
  <c r="B702" i="1"/>
  <c r="B703" i="1"/>
  <c r="B704" i="1"/>
  <c r="B678" i="1"/>
  <c r="B679" i="1"/>
  <c r="B680" i="1"/>
  <c r="B681" i="1"/>
  <c r="B682" i="1"/>
  <c r="B683" i="1"/>
  <c r="B684" i="1"/>
  <c r="B685" i="1"/>
  <c r="B686" i="1"/>
  <c r="B687" i="1"/>
  <c r="B688" i="1"/>
  <c r="B689" i="1"/>
  <c r="B690" i="1"/>
  <c r="B633" i="1"/>
  <c r="B634" i="1"/>
  <c r="B635" i="1"/>
  <c r="B636" i="1"/>
  <c r="B637" i="1"/>
  <c r="B638" i="1"/>
  <c r="B639" i="1"/>
  <c r="B640" i="1"/>
  <c r="B641" i="1"/>
  <c r="B642" i="1"/>
  <c r="B643" i="1"/>
  <c r="B644" i="1"/>
  <c r="B645" i="1"/>
  <c r="B619" i="1"/>
  <c r="B620" i="1"/>
  <c r="B621" i="1"/>
  <c r="B622" i="1"/>
  <c r="B623" i="1"/>
  <c r="B624" i="1"/>
  <c r="B625" i="1"/>
  <c r="B626" i="1"/>
  <c r="B627" i="1"/>
  <c r="B628" i="1"/>
  <c r="B629" i="1"/>
  <c r="B630" i="1"/>
  <c r="B631" i="1"/>
  <c r="B515" i="1"/>
  <c r="B516" i="1"/>
  <c r="B517" i="1"/>
  <c r="B518" i="1"/>
  <c r="B519" i="1"/>
  <c r="B520" i="1"/>
  <c r="B521" i="1"/>
  <c r="B522" i="1"/>
  <c r="B523" i="1"/>
  <c r="B524" i="1"/>
  <c r="B525" i="1"/>
  <c r="B526" i="1"/>
  <c r="B527" i="1"/>
  <c r="B501" i="1"/>
  <c r="B502" i="1"/>
  <c r="B503" i="1"/>
  <c r="B504" i="1"/>
  <c r="B505" i="1"/>
  <c r="B506" i="1"/>
  <c r="B507" i="1"/>
  <c r="B508" i="1"/>
  <c r="B509" i="1"/>
  <c r="B510" i="1"/>
  <c r="B511" i="1"/>
  <c r="B512" i="1"/>
  <c r="B513" i="1"/>
  <c r="B456" i="1"/>
  <c r="B457" i="1"/>
  <c r="B458" i="1"/>
  <c r="B459" i="1"/>
  <c r="B460" i="1"/>
  <c r="B461" i="1"/>
  <c r="B462" i="1"/>
  <c r="B463" i="1"/>
  <c r="B464" i="1"/>
  <c r="B465" i="1"/>
  <c r="B466" i="1"/>
  <c r="B467" i="1"/>
  <c r="B468" i="1"/>
  <c r="B442" i="1"/>
  <c r="B443" i="1"/>
  <c r="B444" i="1"/>
  <c r="B445" i="1"/>
  <c r="B446" i="1"/>
  <c r="B447" i="1"/>
  <c r="B448" i="1"/>
  <c r="B449" i="1"/>
  <c r="B450" i="1"/>
  <c r="B451" i="1"/>
  <c r="B452" i="1"/>
  <c r="B453" i="1"/>
  <c r="B454" i="1"/>
  <c r="B397" i="1"/>
  <c r="B398" i="1"/>
  <c r="B399" i="1"/>
  <c r="B400" i="1"/>
  <c r="B401" i="1"/>
  <c r="B402" i="1"/>
  <c r="B403" i="1"/>
  <c r="B404" i="1"/>
  <c r="B405" i="1"/>
  <c r="B406" i="1"/>
  <c r="B407" i="1"/>
  <c r="B408" i="1"/>
  <c r="B409" i="1"/>
  <c r="B383" i="1"/>
  <c r="B384" i="1"/>
  <c r="B385" i="1"/>
  <c r="B386" i="1"/>
  <c r="B387" i="1"/>
  <c r="B388" i="1"/>
  <c r="B389" i="1"/>
  <c r="B390" i="1"/>
  <c r="B391" i="1"/>
  <c r="B392" i="1"/>
  <c r="B393" i="1"/>
  <c r="B394" i="1"/>
  <c r="B395" i="1"/>
  <c r="B338" i="1"/>
  <c r="B339" i="1"/>
  <c r="B340" i="1"/>
  <c r="B341" i="1"/>
  <c r="B342" i="1"/>
  <c r="B343" i="1"/>
  <c r="B344" i="1"/>
  <c r="B345" i="1"/>
  <c r="B346" i="1"/>
  <c r="B347" i="1"/>
  <c r="B348" i="1"/>
  <c r="B349" i="1"/>
  <c r="B350" i="1"/>
  <c r="B324" i="1"/>
  <c r="B325" i="1"/>
  <c r="B326" i="1"/>
  <c r="B327" i="1"/>
  <c r="B328" i="1"/>
  <c r="B329" i="1"/>
  <c r="B330" i="1"/>
  <c r="B331" i="1"/>
  <c r="B332" i="1"/>
  <c r="B333" i="1"/>
  <c r="B334" i="1"/>
  <c r="B335" i="1"/>
  <c r="B336" i="1"/>
  <c r="B279" i="1"/>
  <c r="B280" i="1"/>
  <c r="B281" i="1"/>
  <c r="B282" i="1"/>
  <c r="B283" i="1"/>
  <c r="B284" i="1"/>
  <c r="B285" i="1"/>
  <c r="B286" i="1"/>
  <c r="B287" i="1"/>
  <c r="B288" i="1"/>
  <c r="B289" i="1"/>
  <c r="B290" i="1"/>
  <c r="B291" i="1"/>
  <c r="B265" i="1"/>
  <c r="B266" i="1"/>
  <c r="B267" i="1"/>
  <c r="B268" i="1"/>
  <c r="B269" i="1"/>
  <c r="B270" i="1"/>
  <c r="B271" i="1"/>
  <c r="B272" i="1"/>
  <c r="B273" i="1"/>
  <c r="B274" i="1"/>
  <c r="B275" i="1"/>
  <c r="B276" i="1"/>
  <c r="B277" i="1"/>
</calcChain>
</file>

<file path=xl/sharedStrings.xml><?xml version="1.0" encoding="utf-8"?>
<sst xmlns="http://schemas.openxmlformats.org/spreadsheetml/2006/main" count="793" uniqueCount="160">
  <si>
    <r>
      <rPr>
        <b/>
        <sz val="12"/>
        <color indexed="8"/>
        <rFont val="Symbol"/>
        <charset val="2"/>
      </rPr>
      <t>a</t>
    </r>
    <r>
      <rPr>
        <b/>
        <sz val="12"/>
        <color indexed="8"/>
        <rFont val="Arial"/>
        <family val="2"/>
      </rPr>
      <t>-quartz</t>
    </r>
  </si>
  <si>
    <r>
      <rPr>
        <b/>
        <sz val="12"/>
        <color indexed="8"/>
        <rFont val="Symbol"/>
        <charset val="2"/>
      </rPr>
      <t>b</t>
    </r>
    <r>
      <rPr>
        <b/>
        <sz val="12"/>
        <color indexed="8"/>
        <rFont val="Arial"/>
        <family val="2"/>
      </rPr>
      <t>-quartz</t>
    </r>
  </si>
  <si>
    <t>orthoclase</t>
  </si>
  <si>
    <t>albite</t>
  </si>
  <si>
    <t>anorthite</t>
  </si>
  <si>
    <t>muscovite</t>
  </si>
  <si>
    <t>phlogopite</t>
  </si>
  <si>
    <t>annite</t>
  </si>
  <si>
    <t>hornblende</t>
  </si>
  <si>
    <t>diopside</t>
  </si>
  <si>
    <t>hedenbergite</t>
  </si>
  <si>
    <t>enstatite</t>
  </si>
  <si>
    <t>ferrosilite</t>
  </si>
  <si>
    <t>forsterite</t>
  </si>
  <si>
    <t>fayalite</t>
  </si>
  <si>
    <t>spinel</t>
  </si>
  <si>
    <t>pyrope</t>
  </si>
  <si>
    <t>almandine</t>
  </si>
  <si>
    <r>
      <t>SiO</t>
    </r>
    <r>
      <rPr>
        <vertAlign val="subscript"/>
        <sz val="12"/>
        <color theme="1"/>
        <rFont val="Arial"/>
        <family val="2"/>
      </rPr>
      <t>2</t>
    </r>
  </si>
  <si>
    <r>
      <t>KAl</t>
    </r>
    <r>
      <rPr>
        <sz val="12"/>
        <color theme="1"/>
        <rFont val="Arial"/>
        <family val="2"/>
      </rPr>
      <t>Si</t>
    </r>
    <r>
      <rPr>
        <vertAlign val="subscript"/>
        <sz val="12"/>
        <color theme="1"/>
        <rFont val="Arial"/>
        <family val="2"/>
      </rPr>
      <t>3</t>
    </r>
    <r>
      <rPr>
        <sz val="12"/>
        <color theme="1"/>
        <rFont val="Arial"/>
        <family val="2"/>
      </rPr>
      <t>O</t>
    </r>
    <r>
      <rPr>
        <vertAlign val="subscript"/>
        <sz val="12"/>
        <color theme="1"/>
        <rFont val="Arial"/>
        <family val="2"/>
      </rPr>
      <t>8</t>
    </r>
  </si>
  <si>
    <r>
      <t>NaAlSi</t>
    </r>
    <r>
      <rPr>
        <vertAlign val="subscript"/>
        <sz val="12"/>
        <color theme="1"/>
        <rFont val="Arial"/>
        <family val="2"/>
      </rPr>
      <t>3</t>
    </r>
    <r>
      <rPr>
        <sz val="12"/>
        <color theme="1"/>
        <rFont val="Arial"/>
        <family val="2"/>
      </rPr>
      <t>O</t>
    </r>
    <r>
      <rPr>
        <vertAlign val="subscript"/>
        <sz val="12"/>
        <color theme="1"/>
        <rFont val="Arial"/>
        <family val="2"/>
      </rPr>
      <t>8</t>
    </r>
  </si>
  <si>
    <r>
      <t>CaAlSi</t>
    </r>
    <r>
      <rPr>
        <vertAlign val="subscript"/>
        <sz val="12"/>
        <color theme="1"/>
        <rFont val="Arial"/>
        <family val="2"/>
      </rPr>
      <t>2</t>
    </r>
    <r>
      <rPr>
        <sz val="12"/>
        <color theme="1"/>
        <rFont val="Arial"/>
        <family val="2"/>
      </rPr>
      <t>O</t>
    </r>
    <r>
      <rPr>
        <vertAlign val="subscript"/>
        <sz val="12"/>
        <color theme="1"/>
        <rFont val="Arial"/>
        <family val="2"/>
      </rPr>
      <t>8</t>
    </r>
  </si>
  <si>
    <r>
      <t>KAl</t>
    </r>
    <r>
      <rPr>
        <vertAlign val="subscript"/>
        <sz val="12"/>
        <color theme="1"/>
        <rFont val="Arial"/>
        <family val="2"/>
      </rPr>
      <t>3</t>
    </r>
    <r>
      <rPr>
        <sz val="12"/>
        <color theme="1"/>
        <rFont val="Arial"/>
        <family val="2"/>
      </rPr>
      <t>Si</t>
    </r>
    <r>
      <rPr>
        <vertAlign val="subscript"/>
        <sz val="12"/>
        <color theme="1"/>
        <rFont val="Arial"/>
        <family val="2"/>
      </rPr>
      <t>3</t>
    </r>
    <r>
      <rPr>
        <sz val="12"/>
        <color theme="1"/>
        <rFont val="Arial"/>
        <family val="2"/>
      </rPr>
      <t>O</t>
    </r>
    <r>
      <rPr>
        <vertAlign val="subscript"/>
        <sz val="12"/>
        <color theme="1"/>
        <rFont val="Arial"/>
        <family val="2"/>
      </rPr>
      <t>10</t>
    </r>
    <r>
      <rPr>
        <sz val="12"/>
        <color theme="1"/>
        <rFont val="Arial"/>
        <family val="2"/>
      </rPr>
      <t>(OH)</t>
    </r>
    <r>
      <rPr>
        <vertAlign val="subscript"/>
        <sz val="12"/>
        <color theme="1"/>
        <rFont val="Arial"/>
        <family val="2"/>
      </rPr>
      <t>2</t>
    </r>
  </si>
  <si>
    <r>
      <t>KMg</t>
    </r>
    <r>
      <rPr>
        <vertAlign val="subscript"/>
        <sz val="12"/>
        <color theme="1"/>
        <rFont val="Arial"/>
        <family val="2"/>
      </rPr>
      <t>3</t>
    </r>
    <r>
      <rPr>
        <sz val="12"/>
        <color theme="1"/>
        <rFont val="Arial"/>
        <family val="2"/>
      </rPr>
      <t>AlSi</t>
    </r>
    <r>
      <rPr>
        <vertAlign val="subscript"/>
        <sz val="12"/>
        <color theme="1"/>
        <rFont val="Arial"/>
        <family val="2"/>
      </rPr>
      <t>3</t>
    </r>
    <r>
      <rPr>
        <sz val="12"/>
        <color theme="1"/>
        <rFont val="Arial"/>
        <family val="2"/>
      </rPr>
      <t>O</t>
    </r>
    <r>
      <rPr>
        <vertAlign val="subscript"/>
        <sz val="12"/>
        <color theme="1"/>
        <rFont val="Arial"/>
        <family val="2"/>
      </rPr>
      <t>10</t>
    </r>
    <r>
      <rPr>
        <sz val="12"/>
        <color theme="1"/>
        <rFont val="Arial"/>
        <family val="2"/>
      </rPr>
      <t>(F,OH)</t>
    </r>
    <r>
      <rPr>
        <vertAlign val="subscript"/>
        <sz val="12"/>
        <color theme="1"/>
        <rFont val="Arial"/>
        <family val="2"/>
      </rPr>
      <t>2</t>
    </r>
  </si>
  <si>
    <r>
      <t>KFe</t>
    </r>
    <r>
      <rPr>
        <vertAlign val="subscript"/>
        <sz val="12"/>
        <color theme="1"/>
        <rFont val="Arial"/>
        <family val="2"/>
      </rPr>
      <t>3</t>
    </r>
    <r>
      <rPr>
        <sz val="12"/>
        <color theme="1"/>
        <rFont val="Arial"/>
        <family val="2"/>
      </rPr>
      <t>AlSi</t>
    </r>
    <r>
      <rPr>
        <vertAlign val="subscript"/>
        <sz val="12"/>
        <color theme="1"/>
        <rFont val="Arial"/>
        <family val="2"/>
      </rPr>
      <t>3</t>
    </r>
    <r>
      <rPr>
        <sz val="12"/>
        <color theme="1"/>
        <rFont val="Arial"/>
        <family val="2"/>
      </rPr>
      <t>O</t>
    </r>
    <r>
      <rPr>
        <vertAlign val="subscript"/>
        <sz val="12"/>
        <color theme="1"/>
        <rFont val="Arial"/>
        <family val="2"/>
      </rPr>
      <t>10</t>
    </r>
    <r>
      <rPr>
        <sz val="12"/>
        <color theme="1"/>
        <rFont val="Arial"/>
        <family val="2"/>
      </rPr>
      <t>(F,OH)</t>
    </r>
    <r>
      <rPr>
        <vertAlign val="subscript"/>
        <sz val="12"/>
        <color theme="1"/>
        <rFont val="Arial"/>
        <family val="2"/>
      </rPr>
      <t>2</t>
    </r>
  </si>
  <si>
    <r>
      <t>Ca</t>
    </r>
    <r>
      <rPr>
        <vertAlign val="subscript"/>
        <sz val="12"/>
        <color theme="1"/>
        <rFont val="Arial"/>
        <family val="2"/>
      </rPr>
      <t>2</t>
    </r>
    <r>
      <rPr>
        <sz val="12"/>
        <color theme="1"/>
        <rFont val="Arial"/>
        <family val="2"/>
      </rPr>
      <t>(Mg,Fe,Al)</t>
    </r>
    <r>
      <rPr>
        <vertAlign val="subscript"/>
        <sz val="12"/>
        <color theme="1"/>
        <rFont val="Arial"/>
        <family val="2"/>
      </rPr>
      <t>5</t>
    </r>
    <r>
      <rPr>
        <sz val="12"/>
        <color theme="1"/>
        <rFont val="Arial"/>
        <family val="2"/>
      </rPr>
      <t>(Al,Si)</t>
    </r>
    <r>
      <rPr>
        <vertAlign val="subscript"/>
        <sz val="12"/>
        <color theme="1"/>
        <rFont val="Arial"/>
        <family val="2"/>
      </rPr>
      <t>8</t>
    </r>
    <r>
      <rPr>
        <sz val="12"/>
        <color theme="1"/>
        <rFont val="Arial"/>
        <family val="2"/>
      </rPr>
      <t>O</t>
    </r>
    <r>
      <rPr>
        <vertAlign val="subscript"/>
        <sz val="12"/>
        <color theme="1"/>
        <rFont val="Arial"/>
        <family val="2"/>
      </rPr>
      <t>22</t>
    </r>
    <r>
      <rPr>
        <sz val="12"/>
        <color theme="1"/>
        <rFont val="Arial"/>
        <family val="2"/>
      </rPr>
      <t>(OH)</t>
    </r>
    <r>
      <rPr>
        <vertAlign val="subscript"/>
        <sz val="12"/>
        <color theme="1"/>
        <rFont val="Arial"/>
        <family val="2"/>
      </rPr>
      <t>2</t>
    </r>
  </si>
  <si>
    <r>
      <t>CaMgSi</t>
    </r>
    <r>
      <rPr>
        <vertAlign val="subscript"/>
        <sz val="12"/>
        <color theme="1"/>
        <rFont val="Arial"/>
        <family val="2"/>
      </rPr>
      <t>2</t>
    </r>
    <r>
      <rPr>
        <sz val="12"/>
        <color theme="1"/>
        <rFont val="Arial"/>
        <family val="2"/>
      </rPr>
      <t>O</t>
    </r>
    <r>
      <rPr>
        <vertAlign val="subscript"/>
        <sz val="12"/>
        <color theme="1"/>
        <rFont val="Arial"/>
        <family val="2"/>
      </rPr>
      <t>6</t>
    </r>
  </si>
  <si>
    <r>
      <t>CaFeSi</t>
    </r>
    <r>
      <rPr>
        <vertAlign val="subscript"/>
        <sz val="12"/>
        <color theme="1"/>
        <rFont val="Arial"/>
        <family val="2"/>
      </rPr>
      <t>2</t>
    </r>
    <r>
      <rPr>
        <sz val="12"/>
        <color theme="1"/>
        <rFont val="Arial"/>
        <family val="2"/>
      </rPr>
      <t>O</t>
    </r>
    <r>
      <rPr>
        <vertAlign val="subscript"/>
        <sz val="12"/>
        <color theme="1"/>
        <rFont val="Arial"/>
        <family val="2"/>
      </rPr>
      <t>6</t>
    </r>
  </si>
  <si>
    <r>
      <t>MgSiO</t>
    </r>
    <r>
      <rPr>
        <vertAlign val="subscript"/>
        <sz val="12"/>
        <color theme="1"/>
        <rFont val="Arial"/>
        <family val="2"/>
      </rPr>
      <t>3</t>
    </r>
  </si>
  <si>
    <r>
      <t>FeSiO</t>
    </r>
    <r>
      <rPr>
        <vertAlign val="subscript"/>
        <sz val="12"/>
        <color theme="1"/>
        <rFont val="Arial"/>
        <family val="2"/>
      </rPr>
      <t>3</t>
    </r>
  </si>
  <si>
    <r>
      <t>Mg</t>
    </r>
    <r>
      <rPr>
        <vertAlign val="subscript"/>
        <sz val="12"/>
        <color theme="1"/>
        <rFont val="Arial"/>
        <family val="2"/>
      </rPr>
      <t>2</t>
    </r>
    <r>
      <rPr>
        <sz val="12"/>
        <color theme="1"/>
        <rFont val="Arial"/>
        <family val="2"/>
      </rPr>
      <t>SiO</t>
    </r>
    <r>
      <rPr>
        <vertAlign val="subscript"/>
        <sz val="12"/>
        <color theme="1"/>
        <rFont val="Arial"/>
        <family val="2"/>
      </rPr>
      <t>4</t>
    </r>
  </si>
  <si>
    <r>
      <t>Fe</t>
    </r>
    <r>
      <rPr>
        <vertAlign val="subscript"/>
        <sz val="12"/>
        <color theme="1"/>
        <rFont val="Arial"/>
        <family val="2"/>
      </rPr>
      <t>2</t>
    </r>
    <r>
      <rPr>
        <sz val="12"/>
        <color theme="1"/>
        <rFont val="Arial"/>
        <family val="2"/>
      </rPr>
      <t>SiO</t>
    </r>
    <r>
      <rPr>
        <vertAlign val="subscript"/>
        <sz val="12"/>
        <color theme="1"/>
        <rFont val="Arial"/>
        <family val="2"/>
      </rPr>
      <t>4</t>
    </r>
  </si>
  <si>
    <r>
      <t>MgAl</t>
    </r>
    <r>
      <rPr>
        <vertAlign val="subscript"/>
        <sz val="12"/>
        <color theme="1"/>
        <rFont val="Arial"/>
        <family val="2"/>
      </rPr>
      <t>2</t>
    </r>
    <r>
      <rPr>
        <sz val="12"/>
        <color theme="1"/>
        <rFont val="Arial"/>
        <family val="2"/>
      </rPr>
      <t>O</t>
    </r>
    <r>
      <rPr>
        <vertAlign val="subscript"/>
        <sz val="12"/>
        <color theme="1"/>
        <rFont val="Arial"/>
        <family val="2"/>
      </rPr>
      <t>4</t>
    </r>
  </si>
  <si>
    <r>
      <t>Mg</t>
    </r>
    <r>
      <rPr>
        <vertAlign val="subscript"/>
        <sz val="12"/>
        <color theme="1"/>
        <rFont val="Arial"/>
        <family val="2"/>
      </rPr>
      <t>3</t>
    </r>
    <r>
      <rPr>
        <sz val="12"/>
        <color theme="1"/>
        <rFont val="Arial"/>
        <family val="2"/>
      </rPr>
      <t>Al</t>
    </r>
    <r>
      <rPr>
        <vertAlign val="subscript"/>
        <sz val="12"/>
        <color theme="1"/>
        <rFont val="Arial"/>
        <family val="2"/>
      </rPr>
      <t>2</t>
    </r>
    <r>
      <rPr>
        <sz val="12"/>
        <color theme="1"/>
        <rFont val="Arial"/>
        <family val="2"/>
      </rPr>
      <t>Si</t>
    </r>
    <r>
      <rPr>
        <vertAlign val="subscript"/>
        <sz val="12"/>
        <color theme="1"/>
        <rFont val="Arial"/>
        <family val="2"/>
      </rPr>
      <t>3</t>
    </r>
    <r>
      <rPr>
        <sz val="12"/>
        <color theme="1"/>
        <rFont val="Arial"/>
        <family val="2"/>
      </rPr>
      <t>O</t>
    </r>
    <r>
      <rPr>
        <vertAlign val="subscript"/>
        <sz val="12"/>
        <color theme="1"/>
        <rFont val="Arial"/>
        <family val="2"/>
      </rPr>
      <t>12</t>
    </r>
  </si>
  <si>
    <r>
      <t>Fe</t>
    </r>
    <r>
      <rPr>
        <vertAlign val="subscript"/>
        <sz val="12"/>
        <color theme="1"/>
        <rFont val="Arial"/>
        <family val="2"/>
      </rPr>
      <t>3</t>
    </r>
    <r>
      <rPr>
        <sz val="12"/>
        <color theme="1"/>
        <rFont val="Arial"/>
        <family val="2"/>
      </rPr>
      <t>Al</t>
    </r>
    <r>
      <rPr>
        <vertAlign val="subscript"/>
        <sz val="12"/>
        <color theme="1"/>
        <rFont val="Arial"/>
        <family val="2"/>
      </rPr>
      <t>2</t>
    </r>
    <r>
      <rPr>
        <sz val="12"/>
        <color theme="1"/>
        <rFont val="Arial"/>
        <family val="2"/>
      </rPr>
      <t>Si</t>
    </r>
    <r>
      <rPr>
        <vertAlign val="subscript"/>
        <sz val="12"/>
        <color theme="1"/>
        <rFont val="Arial"/>
        <family val="2"/>
      </rPr>
      <t>3</t>
    </r>
    <r>
      <rPr>
        <sz val="12"/>
        <color theme="1"/>
        <rFont val="Arial"/>
        <family val="2"/>
      </rPr>
      <t>O</t>
    </r>
    <r>
      <rPr>
        <vertAlign val="subscript"/>
        <sz val="12"/>
        <color theme="1"/>
        <rFont val="Arial"/>
        <family val="2"/>
      </rPr>
      <t>12</t>
    </r>
  </si>
  <si>
    <t>gram
formula
weight
(g/mol)</t>
  </si>
  <si>
    <r>
      <t>m</t>
    </r>
    <r>
      <rPr>
        <b/>
        <vertAlign val="subscript"/>
        <sz val="12"/>
        <color indexed="8"/>
        <rFont val="Arial"/>
        <family val="2"/>
      </rPr>
      <t>0</t>
    </r>
  </si>
  <si>
    <r>
      <t>molar
volume
(cm</t>
    </r>
    <r>
      <rPr>
        <b/>
        <vertAlign val="superscript"/>
        <sz val="12"/>
        <color indexed="8"/>
        <rFont val="Arial"/>
        <family val="2"/>
      </rPr>
      <t>3</t>
    </r>
    <r>
      <rPr>
        <b/>
        <sz val="12"/>
        <color indexed="8"/>
        <rFont val="Arial"/>
        <family val="2"/>
      </rPr>
      <t>/mol)</t>
    </r>
  </si>
  <si>
    <r>
      <t>V</t>
    </r>
    <r>
      <rPr>
        <b/>
        <vertAlign val="subscript"/>
        <sz val="12"/>
        <color indexed="8"/>
        <rFont val="Arial"/>
        <family val="2"/>
      </rPr>
      <t>0</t>
    </r>
  </si>
  <si>
    <r>
      <t>density
@298K
(kg/m</t>
    </r>
    <r>
      <rPr>
        <b/>
        <vertAlign val="superscript"/>
        <sz val="12"/>
        <color indexed="8"/>
        <rFont val="Arial"/>
        <family val="2"/>
      </rPr>
      <t>3</t>
    </r>
    <r>
      <rPr>
        <b/>
        <sz val="12"/>
        <color indexed="8"/>
        <rFont val="Arial"/>
        <family val="2"/>
      </rPr>
      <t>)</t>
    </r>
  </si>
  <si>
    <t xml:space="preserve">wt%
H2O
</t>
  </si>
  <si>
    <r>
      <t xml:space="preserve">expansivity
</t>
    </r>
    <r>
      <rPr>
        <b/>
        <sz val="12"/>
        <color theme="1"/>
        <rFont val="Symbol"/>
        <charset val="2"/>
      </rPr>
      <t>a</t>
    </r>
    <r>
      <rPr>
        <b/>
        <vertAlign val="subscript"/>
        <sz val="12"/>
        <color theme="1"/>
        <rFont val="Arial"/>
        <family val="2"/>
      </rPr>
      <t>V</t>
    </r>
    <r>
      <rPr>
        <b/>
        <sz val="12"/>
        <color theme="1"/>
        <rFont val="Arial"/>
        <family val="2"/>
      </rPr>
      <t xml:space="preserve"> = a</t>
    </r>
    <r>
      <rPr>
        <b/>
        <vertAlign val="subscript"/>
        <sz val="12"/>
        <color theme="1"/>
        <rFont val="Arial"/>
        <family val="2"/>
      </rPr>
      <t>0</t>
    </r>
    <r>
      <rPr>
        <b/>
        <sz val="12"/>
        <color theme="1"/>
        <rFont val="Arial"/>
        <family val="2"/>
      </rPr>
      <t xml:space="preserve"> + a</t>
    </r>
    <r>
      <rPr>
        <b/>
        <vertAlign val="subscript"/>
        <sz val="12"/>
        <color theme="1"/>
        <rFont val="Arial"/>
        <family val="2"/>
      </rPr>
      <t>1</t>
    </r>
    <r>
      <rPr>
        <b/>
        <sz val="12"/>
        <color theme="1"/>
        <rFont val="Arial"/>
        <family val="2"/>
      </rPr>
      <t>T + a</t>
    </r>
    <r>
      <rPr>
        <b/>
        <vertAlign val="subscript"/>
        <sz val="12"/>
        <color theme="1"/>
        <rFont val="Arial"/>
        <family val="2"/>
      </rPr>
      <t>2</t>
    </r>
    <r>
      <rPr>
        <b/>
        <sz val="12"/>
        <color theme="1"/>
        <rFont val="Arial"/>
        <family val="2"/>
      </rPr>
      <t>T</t>
    </r>
    <r>
      <rPr>
        <b/>
        <vertAlign val="superscript"/>
        <sz val="12"/>
        <color theme="1"/>
        <rFont val="Arial"/>
        <family val="2"/>
      </rPr>
      <t>-2</t>
    </r>
    <r>
      <rPr>
        <b/>
        <sz val="12"/>
        <color theme="1"/>
        <rFont val="Arial"/>
        <family val="2"/>
      </rPr>
      <t xml:space="preserve">
(/K)</t>
    </r>
  </si>
  <si>
    <r>
      <t>a</t>
    </r>
    <r>
      <rPr>
        <b/>
        <vertAlign val="subscript"/>
        <sz val="12"/>
        <color theme="1"/>
        <rFont val="Arial"/>
        <family val="2"/>
      </rPr>
      <t>0</t>
    </r>
    <r>
      <rPr>
        <b/>
        <sz val="12"/>
        <color theme="1"/>
        <rFont val="Arial"/>
        <family val="2"/>
      </rPr>
      <t xml:space="preserve"> x 10</t>
    </r>
    <r>
      <rPr>
        <b/>
        <vertAlign val="superscript"/>
        <sz val="12"/>
        <color theme="1"/>
        <rFont val="Arial"/>
        <family val="2"/>
      </rPr>
      <t>5</t>
    </r>
  </si>
  <si>
    <r>
      <t>a</t>
    </r>
    <r>
      <rPr>
        <b/>
        <vertAlign val="subscript"/>
        <sz val="12"/>
        <color theme="1"/>
        <rFont val="Arial"/>
        <family val="2"/>
      </rPr>
      <t>1</t>
    </r>
    <r>
      <rPr>
        <b/>
        <sz val="12"/>
        <color theme="1"/>
        <rFont val="Arial"/>
        <family val="2"/>
      </rPr>
      <t xml:space="preserve"> x 10</t>
    </r>
    <r>
      <rPr>
        <b/>
        <vertAlign val="superscript"/>
        <sz val="12"/>
        <color theme="1"/>
        <rFont val="Arial"/>
        <family val="2"/>
      </rPr>
      <t>8</t>
    </r>
  </si>
  <si>
    <r>
      <t>a</t>
    </r>
    <r>
      <rPr>
        <b/>
        <vertAlign val="subscript"/>
        <sz val="12"/>
        <color theme="1"/>
        <rFont val="Arial"/>
        <family val="2"/>
      </rPr>
      <t>2</t>
    </r>
  </si>
  <si>
    <r>
      <t>specific heat capacity
Cp = c</t>
    </r>
    <r>
      <rPr>
        <b/>
        <vertAlign val="subscript"/>
        <sz val="12"/>
        <color theme="1"/>
        <rFont val="Arial"/>
        <family val="2"/>
      </rPr>
      <t>0</t>
    </r>
    <r>
      <rPr>
        <b/>
        <sz val="12"/>
        <color theme="1"/>
        <rFont val="Arial"/>
        <family val="2"/>
      </rPr>
      <t xml:space="preserve"> + c</t>
    </r>
    <r>
      <rPr>
        <b/>
        <vertAlign val="subscript"/>
        <sz val="12"/>
        <color theme="1"/>
        <rFont val="Arial"/>
        <family val="2"/>
      </rPr>
      <t>1</t>
    </r>
    <r>
      <rPr>
        <b/>
        <sz val="12"/>
        <color theme="1"/>
        <rFont val="Arial"/>
        <family val="2"/>
      </rPr>
      <t>T</t>
    </r>
    <r>
      <rPr>
        <b/>
        <vertAlign val="superscript"/>
        <sz val="12"/>
        <color theme="1"/>
        <rFont val="Arial"/>
        <family val="2"/>
      </rPr>
      <t>-0.5</t>
    </r>
    <r>
      <rPr>
        <b/>
        <sz val="12"/>
        <color theme="1"/>
        <rFont val="Arial"/>
        <family val="2"/>
      </rPr>
      <t xml:space="preserve"> + c</t>
    </r>
    <r>
      <rPr>
        <b/>
        <vertAlign val="subscript"/>
        <sz val="12"/>
        <color theme="1"/>
        <rFont val="Arial"/>
        <family val="2"/>
      </rPr>
      <t>2</t>
    </r>
    <r>
      <rPr>
        <b/>
        <sz val="12"/>
        <color theme="1"/>
        <rFont val="Arial"/>
        <family val="2"/>
      </rPr>
      <t>T</t>
    </r>
    <r>
      <rPr>
        <b/>
        <vertAlign val="superscript"/>
        <sz val="12"/>
        <color theme="1"/>
        <rFont val="Arial"/>
        <family val="2"/>
      </rPr>
      <t>-2</t>
    </r>
    <r>
      <rPr>
        <b/>
        <sz val="12"/>
        <color theme="1"/>
        <rFont val="Arial"/>
        <family val="2"/>
      </rPr>
      <t xml:space="preserve"> + c</t>
    </r>
    <r>
      <rPr>
        <b/>
        <vertAlign val="subscript"/>
        <sz val="12"/>
        <color theme="1"/>
        <rFont val="Arial"/>
        <family val="2"/>
      </rPr>
      <t>3</t>
    </r>
    <r>
      <rPr>
        <b/>
        <sz val="12"/>
        <color theme="1"/>
        <rFont val="Arial"/>
        <family val="2"/>
      </rPr>
      <t>T</t>
    </r>
    <r>
      <rPr>
        <b/>
        <vertAlign val="superscript"/>
        <sz val="12"/>
        <color theme="1"/>
        <rFont val="Arial"/>
        <family val="2"/>
      </rPr>
      <t>-3</t>
    </r>
    <r>
      <rPr>
        <b/>
        <sz val="12"/>
        <color theme="1"/>
        <rFont val="Arial"/>
        <family val="2"/>
      </rPr>
      <t xml:space="preserve">
 (kJ/kg-K)</t>
    </r>
  </si>
  <si>
    <r>
      <t>c</t>
    </r>
    <r>
      <rPr>
        <b/>
        <vertAlign val="subscript"/>
        <sz val="12"/>
        <color theme="1"/>
        <rFont val="Arial"/>
        <family val="2"/>
      </rPr>
      <t>0</t>
    </r>
  </si>
  <si>
    <r>
      <t>c</t>
    </r>
    <r>
      <rPr>
        <b/>
        <vertAlign val="subscript"/>
        <sz val="12"/>
        <color theme="1"/>
        <rFont val="Arial"/>
        <family val="2"/>
      </rPr>
      <t>1</t>
    </r>
  </si>
  <si>
    <r>
      <t>c</t>
    </r>
    <r>
      <rPr>
        <b/>
        <vertAlign val="subscript"/>
        <sz val="12"/>
        <color theme="1"/>
        <rFont val="Arial"/>
        <family val="2"/>
      </rPr>
      <t>2</t>
    </r>
    <r>
      <rPr>
        <b/>
        <sz val="12"/>
        <color theme="1"/>
        <rFont val="Arial"/>
        <family val="2"/>
      </rPr>
      <t/>
    </r>
  </si>
  <si>
    <r>
      <t>c</t>
    </r>
    <r>
      <rPr>
        <b/>
        <vertAlign val="subscript"/>
        <sz val="12"/>
        <color theme="1"/>
        <rFont val="Arial"/>
        <family val="2"/>
      </rPr>
      <t>3</t>
    </r>
    <r>
      <rPr>
        <b/>
        <sz val="12"/>
        <color theme="1"/>
        <rFont val="Arial"/>
        <family val="2"/>
      </rPr>
      <t/>
    </r>
  </si>
  <si>
    <t>isothermal
bulk
modulus
(GPa)</t>
  </si>
  <si>
    <r>
      <t>K</t>
    </r>
    <r>
      <rPr>
        <b/>
        <vertAlign val="subscript"/>
        <sz val="12"/>
        <color indexed="8"/>
        <rFont val="Arial"/>
        <family val="2"/>
      </rPr>
      <t>T</t>
    </r>
  </si>
  <si>
    <r>
      <t>dK</t>
    </r>
    <r>
      <rPr>
        <b/>
        <vertAlign val="subscript"/>
        <sz val="12"/>
        <color indexed="8"/>
        <rFont val="Arial"/>
        <family val="2"/>
      </rPr>
      <t>T</t>
    </r>
    <r>
      <rPr>
        <b/>
        <sz val="12"/>
        <color indexed="8"/>
        <rFont val="Arial"/>
        <family val="2"/>
      </rPr>
      <t>/dP</t>
    </r>
  </si>
  <si>
    <r>
      <t>K</t>
    </r>
    <r>
      <rPr>
        <b/>
        <vertAlign val="subscript"/>
        <sz val="12"/>
        <color indexed="8"/>
        <rFont val="Arial"/>
        <family val="2"/>
      </rPr>
      <t>T</t>
    </r>
    <r>
      <rPr>
        <b/>
        <sz val="12"/>
        <color indexed="8"/>
        <rFont val="Arial"/>
        <family val="2"/>
      </rPr>
      <t>'</t>
    </r>
  </si>
  <si>
    <t>shear
modulus
(GPa)</t>
  </si>
  <si>
    <t>m</t>
  </si>
  <si>
    <r>
      <t>dln</t>
    </r>
    <r>
      <rPr>
        <b/>
        <sz val="12"/>
        <color indexed="8"/>
        <rFont val="Symbol"/>
        <charset val="2"/>
      </rPr>
      <t>m</t>
    </r>
    <r>
      <rPr>
        <b/>
        <sz val="12"/>
        <color indexed="8"/>
        <rFont val="Arial"/>
        <family val="2"/>
      </rPr>
      <t>/
dln</t>
    </r>
    <r>
      <rPr>
        <b/>
        <sz val="12"/>
        <color indexed="8"/>
        <rFont val="Symbol"/>
        <charset val="2"/>
      </rPr>
      <t>r</t>
    </r>
  </si>
  <si>
    <t>G</t>
  </si>
  <si>
    <r>
      <t>d</t>
    </r>
    <r>
      <rPr>
        <b/>
        <sz val="12"/>
        <color indexed="8"/>
        <rFont val="Symbol"/>
        <charset val="2"/>
      </rPr>
      <t>m</t>
    </r>
    <r>
      <rPr>
        <b/>
        <sz val="12"/>
        <color indexed="8"/>
        <rFont val="Arial"/>
        <family val="2"/>
      </rPr>
      <t>/dP</t>
    </r>
  </si>
  <si>
    <r>
      <rPr>
        <b/>
        <sz val="12"/>
        <color indexed="8"/>
        <rFont val="Symbol"/>
        <charset val="2"/>
      </rPr>
      <t>m</t>
    </r>
    <r>
      <rPr>
        <b/>
        <sz val="12"/>
        <color indexed="8"/>
        <rFont val="Arial"/>
        <family val="2"/>
      </rPr>
      <t>'</t>
    </r>
  </si>
  <si>
    <t>first
Grüneisen
parameter</t>
  </si>
  <si>
    <r>
      <rPr>
        <b/>
        <sz val="12"/>
        <color indexed="8"/>
        <rFont val="Symbol"/>
        <charset val="2"/>
      </rPr>
      <t>g</t>
    </r>
    <r>
      <rPr>
        <b/>
        <vertAlign val="subscript"/>
        <sz val="12"/>
        <color indexed="8"/>
        <rFont val="Arial"/>
        <family val="2"/>
      </rPr>
      <t>th</t>
    </r>
  </si>
  <si>
    <t>second
Grüneisen
parameter</t>
  </si>
  <si>
    <r>
      <rPr>
        <b/>
        <sz val="12"/>
        <color indexed="8"/>
        <rFont val="Symbol"/>
        <charset val="2"/>
      </rPr>
      <t>d</t>
    </r>
    <r>
      <rPr>
        <b/>
        <vertAlign val="subscript"/>
        <sz val="12"/>
        <color indexed="8"/>
        <rFont val="Arial"/>
        <family val="2"/>
      </rPr>
      <t>T</t>
    </r>
  </si>
  <si>
    <t>Pressure</t>
  </si>
  <si>
    <t>Temperature</t>
  </si>
  <si>
    <t>molecular unit</t>
  </si>
  <si>
    <t>Contribution from each phase</t>
  </si>
  <si>
    <t>Effective Property Estimate</t>
  </si>
  <si>
    <t>Expansivity (temperature derivative)</t>
  </si>
  <si>
    <t>Density (temperature-dependence)</t>
  </si>
  <si>
    <r>
      <rPr>
        <b/>
        <sz val="12"/>
        <color theme="1"/>
        <rFont val="Symbol"/>
        <charset val="2"/>
      </rPr>
      <t>r</t>
    </r>
    <r>
      <rPr>
        <b/>
        <sz val="12"/>
        <color theme="1"/>
        <rFont val="Arial"/>
        <family val="2"/>
      </rPr>
      <t>(P,T)</t>
    </r>
  </si>
  <si>
    <t>Expansivity (temperature integral)</t>
  </si>
  <si>
    <r>
      <rPr>
        <b/>
        <sz val="12"/>
        <color theme="1"/>
        <rFont val="Symbol"/>
        <charset val="2"/>
      </rPr>
      <t>a</t>
    </r>
    <r>
      <rPr>
        <b/>
        <vertAlign val="subscript"/>
        <sz val="12"/>
        <color theme="1"/>
        <rFont val="Calibri"/>
        <family val="2"/>
        <scheme val="minor"/>
      </rPr>
      <t>V</t>
    </r>
    <r>
      <rPr>
        <b/>
        <sz val="12"/>
        <color theme="1"/>
        <rFont val="Calibri"/>
        <family val="2"/>
        <scheme val="minor"/>
      </rPr>
      <t>(P,T)</t>
    </r>
  </si>
  <si>
    <r>
      <t>K</t>
    </r>
    <r>
      <rPr>
        <b/>
        <vertAlign val="subscript"/>
        <sz val="12"/>
        <color theme="1"/>
        <rFont val="Calibri"/>
        <family val="2"/>
        <scheme val="minor"/>
      </rPr>
      <t>s</t>
    </r>
    <r>
      <rPr>
        <b/>
        <sz val="12"/>
        <color theme="1"/>
        <rFont val="Calibri"/>
        <family val="2"/>
        <scheme val="minor"/>
      </rPr>
      <t>(P,T)</t>
    </r>
  </si>
  <si>
    <t>Isentropic Bulk Modulus (temperature-dependence)</t>
  </si>
  <si>
    <r>
      <t>K</t>
    </r>
    <r>
      <rPr>
        <b/>
        <vertAlign val="subscript"/>
        <sz val="12"/>
        <color theme="1"/>
        <rFont val="Calibri"/>
        <family val="2"/>
        <scheme val="minor"/>
      </rPr>
      <t>T</t>
    </r>
    <r>
      <rPr>
        <b/>
        <sz val="12"/>
        <color theme="1"/>
        <rFont val="Calibri"/>
        <family val="2"/>
        <scheme val="minor"/>
      </rPr>
      <t>(P,T)</t>
    </r>
  </si>
  <si>
    <t>Shear Modulus (temperature-dependence)</t>
  </si>
  <si>
    <r>
      <rPr>
        <b/>
        <sz val="12"/>
        <color theme="1"/>
        <rFont val="Symbol"/>
        <charset val="2"/>
      </rPr>
      <t>m</t>
    </r>
    <r>
      <rPr>
        <b/>
        <sz val="12"/>
        <color theme="1"/>
        <rFont val="Calibri"/>
        <family val="2"/>
        <scheme val="minor"/>
      </rPr>
      <t>(P,T)</t>
    </r>
  </si>
  <si>
    <t>Shear Modulus (pressure and temperature-dependence)</t>
  </si>
  <si>
    <t>Expansivity (pressure and temperature-dependence)</t>
  </si>
  <si>
    <t>Density (pressure and temperature-dependence)</t>
  </si>
  <si>
    <t>Isothermal Bulk Modulus (pressure and temperature-dependence)</t>
  </si>
  <si>
    <t>Isothermal Bulk Modulus ( temperature-dependence)</t>
  </si>
  <si>
    <t>Expansivity (temperature-dependence)</t>
  </si>
  <si>
    <r>
      <rPr>
        <b/>
        <sz val="12"/>
        <color theme="1"/>
        <rFont val="Arial"/>
        <family val="2"/>
      </rPr>
      <t>C</t>
    </r>
    <r>
      <rPr>
        <b/>
        <vertAlign val="subscript"/>
        <sz val="12"/>
        <color theme="1"/>
        <rFont val="Arial"/>
        <family val="2"/>
      </rPr>
      <t>P</t>
    </r>
    <r>
      <rPr>
        <b/>
        <sz val="12"/>
        <color theme="1"/>
        <rFont val="Calibri"/>
        <family val="2"/>
        <scheme val="minor"/>
      </rPr>
      <t>(P,T)</t>
    </r>
  </si>
  <si>
    <t>Specific Heat Capacity (pressure and temperature-dependence)</t>
  </si>
  <si>
    <r>
      <rPr>
        <b/>
        <sz val="12"/>
        <color theme="1"/>
        <rFont val="Arial"/>
        <family val="2"/>
      </rPr>
      <t>V</t>
    </r>
    <r>
      <rPr>
        <b/>
        <vertAlign val="subscript"/>
        <sz val="12"/>
        <color theme="1"/>
        <rFont val="Arial"/>
        <family val="2"/>
      </rPr>
      <t>P</t>
    </r>
    <r>
      <rPr>
        <b/>
        <sz val="12"/>
        <color theme="1"/>
        <rFont val="Calibri"/>
        <family val="2"/>
        <scheme val="minor"/>
      </rPr>
      <t>(P,T)</t>
    </r>
  </si>
  <si>
    <t>Compressional Velocity (pressure and temperature-dependence)</t>
  </si>
  <si>
    <r>
      <rPr>
        <b/>
        <sz val="12"/>
        <color theme="1"/>
        <rFont val="Arial"/>
        <family val="2"/>
      </rPr>
      <t>V</t>
    </r>
    <r>
      <rPr>
        <b/>
        <vertAlign val="subscript"/>
        <sz val="12"/>
        <color theme="1"/>
        <rFont val="Arial"/>
        <family val="2"/>
      </rPr>
      <t>S</t>
    </r>
    <r>
      <rPr>
        <b/>
        <sz val="12"/>
        <color theme="1"/>
        <rFont val="Calibri"/>
        <family val="2"/>
        <scheme val="minor"/>
      </rPr>
      <t>(P,T)</t>
    </r>
  </si>
  <si>
    <t>Shear Velocity (pressure and temperature-dependence)</t>
  </si>
  <si>
    <t>V(P,T)</t>
  </si>
  <si>
    <t>Volume Fraction (pressure and temperature-dependence</t>
  </si>
  <si>
    <t>Total</t>
  </si>
  <si>
    <t>Phase:</t>
  </si>
  <si>
    <t>Modal Volume</t>
  </si>
  <si>
    <t>Pressure (MPa)</t>
  </si>
  <si>
    <t>Temperature (K)</t>
  </si>
  <si>
    <t>Contribution from each phase to arithmetic mean</t>
  </si>
  <si>
    <t>Contribution from each phase to harmonic mean</t>
  </si>
  <si>
    <r>
      <rPr>
        <b/>
        <i/>
        <sz val="12"/>
        <color theme="1"/>
        <rFont val="Calibri"/>
        <family val="2"/>
        <scheme val="minor"/>
      </rPr>
      <t>σ</t>
    </r>
  </si>
  <si>
    <r>
      <t>V</t>
    </r>
    <r>
      <rPr>
        <b/>
        <vertAlign val="subscript"/>
        <sz val="12"/>
        <color theme="1"/>
        <rFont val="Calibri"/>
        <family val="2"/>
        <scheme val="minor"/>
      </rPr>
      <t>P</t>
    </r>
    <r>
      <rPr>
        <b/>
        <sz val="12"/>
        <color theme="1"/>
        <rFont val="Calibri"/>
        <family val="2"/>
        <scheme val="minor"/>
      </rPr>
      <t>/V</t>
    </r>
    <r>
      <rPr>
        <b/>
        <vertAlign val="subscript"/>
        <sz val="12"/>
        <color theme="1"/>
        <rFont val="Calibri"/>
        <family val="2"/>
        <scheme val="minor"/>
      </rPr>
      <t>S</t>
    </r>
  </si>
  <si>
    <r>
      <rPr>
        <b/>
        <sz val="12"/>
        <color theme="1"/>
        <rFont val="Symbol"/>
        <charset val="2"/>
      </rPr>
      <t>a</t>
    </r>
    <r>
      <rPr>
        <b/>
        <vertAlign val="subscript"/>
        <sz val="12"/>
        <color theme="1"/>
        <rFont val="Calibri"/>
        <family val="2"/>
        <scheme val="minor"/>
      </rPr>
      <t>V</t>
    </r>
    <r>
      <rPr>
        <b/>
        <sz val="12"/>
        <color theme="1"/>
        <rFont val="Calibri"/>
        <family val="2"/>
        <scheme val="minor"/>
      </rPr>
      <t>(T), units K</t>
    </r>
    <r>
      <rPr>
        <b/>
        <vertAlign val="superscript"/>
        <sz val="12"/>
        <color theme="1"/>
        <rFont val="Calibri"/>
        <family val="2"/>
        <scheme val="minor"/>
      </rPr>
      <t>-1</t>
    </r>
  </si>
  <si>
    <r>
      <rPr>
        <b/>
        <sz val="12"/>
        <color theme="1"/>
        <rFont val="Arial"/>
        <family val="2"/>
      </rPr>
      <t>(</t>
    </r>
    <r>
      <rPr>
        <b/>
        <sz val="12"/>
        <color theme="1"/>
        <rFont val="Symbol"/>
        <charset val="2"/>
      </rPr>
      <t>∂a</t>
    </r>
    <r>
      <rPr>
        <b/>
        <sz val="12"/>
        <color theme="1"/>
        <rFont val="Arial"/>
        <family val="2"/>
      </rPr>
      <t>/</t>
    </r>
    <r>
      <rPr>
        <b/>
        <sz val="12"/>
        <color theme="1"/>
        <rFont val="Symbol"/>
        <charset val="2"/>
      </rPr>
      <t>∂</t>
    </r>
    <r>
      <rPr>
        <b/>
        <sz val="12"/>
        <color theme="1"/>
        <rFont val="Arial"/>
        <family val="2"/>
      </rPr>
      <t>T)</t>
    </r>
    <r>
      <rPr>
        <b/>
        <vertAlign val="subscript"/>
        <sz val="12"/>
        <color theme="1"/>
        <rFont val="Arial"/>
        <family val="2"/>
      </rPr>
      <t>P</t>
    </r>
    <r>
      <rPr>
        <b/>
        <sz val="12"/>
        <color theme="1"/>
        <rFont val="Arial"/>
        <family val="2"/>
      </rPr>
      <t>, units K</t>
    </r>
    <r>
      <rPr>
        <b/>
        <vertAlign val="superscript"/>
        <sz val="12"/>
        <color theme="1"/>
        <rFont val="Arial"/>
        <family val="2"/>
      </rPr>
      <t>-2</t>
    </r>
  </si>
  <si>
    <r>
      <rPr>
        <b/>
        <sz val="12"/>
        <color theme="1"/>
        <rFont val="Symbol"/>
        <charset val="2"/>
      </rPr>
      <t>r</t>
    </r>
    <r>
      <rPr>
        <b/>
        <sz val="12"/>
        <color theme="1"/>
        <rFont val="Arial"/>
        <family val="2"/>
      </rPr>
      <t>(T), units kg m</t>
    </r>
    <r>
      <rPr>
        <b/>
        <vertAlign val="superscript"/>
        <sz val="12"/>
        <color theme="1"/>
        <rFont val="Arial"/>
        <family val="2"/>
      </rPr>
      <t>-3</t>
    </r>
  </si>
  <si>
    <r>
      <t>K</t>
    </r>
    <r>
      <rPr>
        <b/>
        <vertAlign val="subscript"/>
        <sz val="12"/>
        <color theme="1"/>
        <rFont val="Calibri"/>
        <family val="2"/>
        <scheme val="minor"/>
      </rPr>
      <t>T</t>
    </r>
    <r>
      <rPr>
        <b/>
        <sz val="12"/>
        <color theme="1"/>
        <rFont val="Calibri"/>
        <family val="2"/>
        <scheme val="minor"/>
      </rPr>
      <t>(T), units GPa</t>
    </r>
  </si>
  <si>
    <r>
      <t>K</t>
    </r>
    <r>
      <rPr>
        <b/>
        <vertAlign val="subscript"/>
        <sz val="12"/>
        <color theme="1"/>
        <rFont val="Calibri"/>
        <family val="2"/>
        <scheme val="minor"/>
      </rPr>
      <t>T</t>
    </r>
    <r>
      <rPr>
        <b/>
        <sz val="12"/>
        <color theme="1"/>
        <rFont val="Calibri"/>
        <family val="2"/>
        <scheme val="minor"/>
      </rPr>
      <t>(P,T), units GPa</t>
    </r>
  </si>
  <si>
    <r>
      <t>K</t>
    </r>
    <r>
      <rPr>
        <b/>
        <vertAlign val="subscript"/>
        <sz val="12"/>
        <color theme="1"/>
        <rFont val="Calibri"/>
        <family val="2"/>
        <scheme val="minor"/>
      </rPr>
      <t>s</t>
    </r>
    <r>
      <rPr>
        <b/>
        <sz val="12"/>
        <color theme="1"/>
        <rFont val="Calibri"/>
        <family val="2"/>
        <scheme val="minor"/>
      </rPr>
      <t>(P,T), units GPa</t>
    </r>
  </si>
  <si>
    <r>
      <rPr>
        <b/>
        <sz val="12"/>
        <color theme="1"/>
        <rFont val="Symbol"/>
        <charset val="2"/>
      </rPr>
      <t>m</t>
    </r>
    <r>
      <rPr>
        <b/>
        <sz val="12"/>
        <color theme="1"/>
        <rFont val="Calibri"/>
        <family val="2"/>
        <scheme val="minor"/>
      </rPr>
      <t>(T), units GPa</t>
    </r>
  </si>
  <si>
    <r>
      <rPr>
        <b/>
        <sz val="12"/>
        <color theme="1"/>
        <rFont val="Symbol"/>
        <charset val="2"/>
      </rPr>
      <t>m</t>
    </r>
    <r>
      <rPr>
        <b/>
        <sz val="12"/>
        <color theme="1"/>
        <rFont val="Calibri"/>
        <family val="2"/>
        <scheme val="minor"/>
      </rPr>
      <t>(P,T), units GPa</t>
    </r>
  </si>
  <si>
    <r>
      <rPr>
        <b/>
        <sz val="12"/>
        <color theme="1"/>
        <rFont val="Arial"/>
        <family val="2"/>
      </rPr>
      <t>C</t>
    </r>
    <r>
      <rPr>
        <b/>
        <vertAlign val="subscript"/>
        <sz val="12"/>
        <color theme="1"/>
        <rFont val="Arial"/>
        <family val="2"/>
      </rPr>
      <t>P</t>
    </r>
    <r>
      <rPr>
        <b/>
        <sz val="12"/>
        <color theme="1"/>
        <rFont val="Calibri"/>
        <family val="2"/>
        <scheme val="minor"/>
      </rPr>
      <t>(P,T), units J kg</t>
    </r>
    <r>
      <rPr>
        <b/>
        <vertAlign val="superscript"/>
        <sz val="12"/>
        <color theme="1"/>
        <rFont val="Calibri"/>
        <family val="2"/>
        <scheme val="minor"/>
      </rPr>
      <t>-1</t>
    </r>
    <r>
      <rPr>
        <b/>
        <sz val="12"/>
        <color theme="1"/>
        <rFont val="Calibri"/>
        <family val="2"/>
        <scheme val="minor"/>
      </rPr>
      <t xml:space="preserve"> K</t>
    </r>
    <r>
      <rPr>
        <b/>
        <vertAlign val="superscript"/>
        <sz val="12"/>
        <color theme="1"/>
        <rFont val="Calibri"/>
        <family val="2"/>
        <scheme val="minor"/>
      </rPr>
      <t>-1</t>
    </r>
  </si>
  <si>
    <r>
      <rPr>
        <b/>
        <sz val="12"/>
        <color theme="1"/>
        <rFont val="Arial"/>
        <family val="2"/>
      </rPr>
      <t>V</t>
    </r>
    <r>
      <rPr>
        <b/>
        <vertAlign val="subscript"/>
        <sz val="12"/>
        <color theme="1"/>
        <rFont val="Arial"/>
        <family val="2"/>
      </rPr>
      <t>P</t>
    </r>
    <r>
      <rPr>
        <b/>
        <sz val="12"/>
        <color theme="1"/>
        <rFont val="Calibri"/>
        <family val="2"/>
        <scheme val="minor"/>
      </rPr>
      <t>(P,T), units km s</t>
    </r>
    <r>
      <rPr>
        <b/>
        <vertAlign val="superscript"/>
        <sz val="12"/>
        <color theme="1"/>
        <rFont val="Calibri"/>
        <family val="2"/>
        <scheme val="minor"/>
      </rPr>
      <t>-1</t>
    </r>
  </si>
  <si>
    <r>
      <rPr>
        <b/>
        <sz val="12"/>
        <color theme="1"/>
        <rFont val="Arial"/>
        <family val="2"/>
      </rPr>
      <t>V</t>
    </r>
    <r>
      <rPr>
        <b/>
        <vertAlign val="subscript"/>
        <sz val="12"/>
        <color theme="1"/>
        <rFont val="Arial"/>
        <family val="2"/>
      </rPr>
      <t>S</t>
    </r>
    <r>
      <rPr>
        <b/>
        <sz val="12"/>
        <color theme="1"/>
        <rFont val="Calibri"/>
        <family val="2"/>
        <scheme val="minor"/>
      </rPr>
      <t>(P,T), units km s</t>
    </r>
    <r>
      <rPr>
        <b/>
        <vertAlign val="superscript"/>
        <sz val="12"/>
        <color theme="1"/>
        <rFont val="Calibri"/>
        <family val="2"/>
        <scheme val="minor"/>
      </rPr>
      <t>-1</t>
    </r>
  </si>
  <si>
    <r>
      <rPr>
        <b/>
        <sz val="12"/>
        <color theme="1"/>
        <rFont val="Symbol"/>
        <charset val="2"/>
      </rPr>
      <t>a</t>
    </r>
    <r>
      <rPr>
        <b/>
        <vertAlign val="subscript"/>
        <sz val="12"/>
        <color theme="1"/>
        <rFont val="Calibri"/>
        <family val="2"/>
        <scheme val="minor"/>
      </rPr>
      <t>V</t>
    </r>
    <r>
      <rPr>
        <b/>
        <sz val="12"/>
        <color theme="1"/>
        <rFont val="Calibri"/>
        <family val="2"/>
        <scheme val="minor"/>
      </rPr>
      <t>(P,T), units K</t>
    </r>
    <r>
      <rPr>
        <b/>
        <vertAlign val="superscript"/>
        <sz val="12"/>
        <color theme="1"/>
        <rFont val="Calibri"/>
        <family val="2"/>
        <scheme val="minor"/>
      </rPr>
      <t>-1</t>
    </r>
  </si>
  <si>
    <r>
      <rPr>
        <b/>
        <sz val="12"/>
        <color theme="1"/>
        <rFont val="Symbol"/>
        <charset val="2"/>
      </rPr>
      <t>r</t>
    </r>
    <r>
      <rPr>
        <b/>
        <sz val="12"/>
        <color theme="1"/>
        <rFont val="Arial"/>
        <family val="2"/>
      </rPr>
      <t>(P,T), units kg m</t>
    </r>
    <r>
      <rPr>
        <b/>
        <vertAlign val="superscript"/>
        <sz val="12"/>
        <color theme="1"/>
        <rFont val="Arial"/>
        <family val="2"/>
      </rPr>
      <t>-3</t>
    </r>
  </si>
  <si>
    <t>Mpa</t>
  </si>
  <si>
    <t>K</t>
  </si>
  <si>
    <t>Expansivity</t>
  </si>
  <si>
    <t>Density</t>
  </si>
  <si>
    <t>Bulk Modulus (isothermal)</t>
  </si>
  <si>
    <t>Bulk Modulus (adiabatic)</t>
  </si>
  <si>
    <t>Shear Modulus</t>
  </si>
  <si>
    <t>Specific Heat Capacity</t>
  </si>
  <si>
    <t>P-wave Velocity</t>
  </si>
  <si>
    <t>S-wave Velocity</t>
  </si>
  <si>
    <t>GPa</t>
  </si>
  <si>
    <r>
      <t>km s</t>
    </r>
    <r>
      <rPr>
        <b/>
        <vertAlign val="superscript"/>
        <sz val="12"/>
        <color theme="1"/>
        <rFont val="Calibri"/>
        <family val="2"/>
        <scheme val="minor"/>
      </rPr>
      <t>-1</t>
    </r>
  </si>
  <si>
    <r>
      <t>J kg</t>
    </r>
    <r>
      <rPr>
        <b/>
        <vertAlign val="superscript"/>
        <sz val="12"/>
        <color theme="1"/>
        <rFont val="Calibri"/>
        <family val="2"/>
        <scheme val="minor"/>
      </rPr>
      <t>-1</t>
    </r>
    <r>
      <rPr>
        <b/>
        <sz val="12"/>
        <color theme="1"/>
        <rFont val="Calibri"/>
        <family val="2"/>
        <scheme val="minor"/>
      </rPr>
      <t xml:space="preserve"> K</t>
    </r>
    <r>
      <rPr>
        <b/>
        <vertAlign val="superscript"/>
        <sz val="12"/>
        <color theme="1"/>
        <rFont val="Calibri"/>
        <family val="2"/>
        <scheme val="minor"/>
      </rPr>
      <t>-1</t>
    </r>
  </si>
  <si>
    <r>
      <t>kg m</t>
    </r>
    <r>
      <rPr>
        <b/>
        <vertAlign val="superscript"/>
        <sz val="12"/>
        <color theme="1"/>
        <rFont val="Calibri"/>
        <family val="2"/>
        <scheme val="minor"/>
      </rPr>
      <t>-3</t>
    </r>
  </si>
  <si>
    <r>
      <t>K</t>
    </r>
    <r>
      <rPr>
        <b/>
        <vertAlign val="superscript"/>
        <sz val="12"/>
        <color theme="1"/>
        <rFont val="Calibri"/>
        <family val="2"/>
        <scheme val="minor"/>
      </rPr>
      <t>-1</t>
    </r>
  </si>
  <si>
    <t>Poisson Ratio</t>
  </si>
  <si>
    <t>modal mineral proportions for common rock types</t>
  </si>
  <si>
    <t>granite</t>
  </si>
  <si>
    <t>mafic granulite</t>
  </si>
  <si>
    <t>lherzolite</t>
  </si>
  <si>
    <t>-</t>
  </si>
  <si>
    <t>Vp/Vs Ratio</t>
  </si>
  <si>
    <t>don't forget to convert to Gpa</t>
  </si>
  <si>
    <r>
      <rPr>
        <b/>
        <sz val="12"/>
        <color theme="1"/>
        <rFont val="Arial"/>
        <family val="2"/>
      </rPr>
      <t>A = ∫</t>
    </r>
    <r>
      <rPr>
        <b/>
        <sz val="12"/>
        <color theme="1"/>
        <rFont val="Symbol"/>
        <charset val="2"/>
      </rPr>
      <t>a</t>
    </r>
    <r>
      <rPr>
        <b/>
        <sz val="12"/>
        <color theme="1"/>
        <rFont val="Arial"/>
        <family val="2"/>
      </rPr>
      <t>(T) dT, unitless</t>
    </r>
  </si>
  <si>
    <t>Min</t>
  </si>
  <si>
    <t>Max</t>
  </si>
  <si>
    <t>Bulk Modulus</t>
  </si>
  <si>
    <t>pressure</t>
  </si>
  <si>
    <t>temperature</t>
  </si>
  <si>
    <t>composition</t>
  </si>
  <si>
    <t>total</t>
  </si>
  <si>
    <r>
      <rPr>
        <sz val="12"/>
        <color rgb="FFFF0000"/>
        <rFont val="Calibri"/>
        <family val="2"/>
        <charset val="134"/>
        <scheme val="minor"/>
      </rPr>
      <t>Check your answers</t>
    </r>
    <r>
      <rPr>
        <sz val="12"/>
        <color theme="1"/>
        <rFont val="Calibri"/>
        <family val="2"/>
        <charset val="134"/>
        <scheme val="minor"/>
      </rPr>
      <t>, they should not fall outside the range below… If they do you may have a mistake or have forgotten to convert to the appropriate units</t>
    </r>
  </si>
  <si>
    <r>
      <t>don't forget to convert to km s</t>
    </r>
    <r>
      <rPr>
        <i/>
        <vertAlign val="superscript"/>
        <sz val="12"/>
        <color theme="5"/>
        <rFont val="Calibri"/>
        <family val="2"/>
        <scheme val="minor"/>
      </rPr>
      <t>-1</t>
    </r>
  </si>
  <si>
    <r>
      <t xml:space="preserve">These cells are automatically filled in from the computations worksheet so long as you </t>
    </r>
    <r>
      <rPr>
        <i/>
        <sz val="12"/>
        <color theme="5"/>
        <rFont val="Calibri"/>
        <family val="2"/>
        <scheme val="minor"/>
      </rPr>
      <t>do not alter the default locations</t>
    </r>
    <r>
      <rPr>
        <i/>
        <sz val="12"/>
        <color theme="1"/>
        <rFont val="Calibri"/>
        <family val="2"/>
        <scheme val="minor"/>
      </rPr>
      <t xml:space="preserve"> of computed values. </t>
    </r>
    <r>
      <rPr>
        <i/>
        <sz val="12"/>
        <color theme="4"/>
        <rFont val="Calibri"/>
        <family val="2"/>
        <scheme val="minor"/>
      </rPr>
      <t>Scroll down to see plots.</t>
    </r>
  </si>
  <si>
    <t>increase</t>
  </si>
  <si>
    <t>decrease</t>
  </si>
  <si>
    <t>significant (&gt;10%)</t>
  </si>
  <si>
    <t>1. The effect of pressure on</t>
  </si>
  <si>
    <t>2. The effect of temperature on</t>
  </si>
  <si>
    <t>4. Rank the influence on the physical properties (1 to 3, most to least important)</t>
  </si>
  <si>
    <t>Answer the following questions below with respect to the graphs that are produced for each rock type.</t>
  </si>
  <si>
    <r>
      <t>3. The effect of composition on (from felsic to mafic…decreasing SiO</t>
    </r>
    <r>
      <rPr>
        <b/>
        <vertAlign val="subscript"/>
        <sz val="12"/>
        <color rgb="FF000000"/>
        <rFont val="Calibri"/>
        <family val="2"/>
        <scheme val="minor"/>
      </rPr>
      <t>2</t>
    </r>
    <r>
      <rPr>
        <b/>
        <sz val="12"/>
        <color rgb="FF000000"/>
        <rFont val="Calibri"/>
        <family val="2"/>
        <scheme val="minor"/>
      </rPr>
      <t>)</t>
    </r>
  </si>
  <si>
    <t>Place an 'x' under the appropriate column based on whether the physical property increases or decreases with respect to the state variables listed below.  Then add an 'x' to the significance column if the state variable creates a minimum of 10% change over the range of typical crustal temperatures and pressures.  Some answers may be a little ambigous based on the results, if so, feel free to note these.</t>
  </si>
  <si>
    <t>Coefficients for physical constants (at STP)</t>
  </si>
  <si>
    <r>
      <rPr>
        <b/>
        <sz val="12"/>
        <color indexed="8"/>
        <rFont val="Symbol"/>
        <charset val="2"/>
      </rPr>
      <t>r</t>
    </r>
    <r>
      <rPr>
        <b/>
        <vertAlign val="subscript"/>
        <sz val="12"/>
        <color indexed="8"/>
        <rFont val="Arial"/>
        <family val="2"/>
      </rPr>
      <t>298</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</si>
</sst>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E+00;\_x0000_"/>
  </numFmts>
  <fonts count="30" x14ac:knownFonts="1">
    <font>
      <sz val="12"/>
      <color theme="1"/>
      <name val="Calibri"/>
      <family val="2"/>
      <charset val="134"/>
      <scheme val="minor"/>
    </font>
    <font>
      <b/>
      <sz val="12"/>
      <color theme="1"/>
      <name val="Calibri"/>
      <family val="2"/>
      <scheme val="minor"/>
    </font>
    <font>
      <sz val="12"/>
      <color indexed="8"/>
      <name val="Arial"/>
      <family val="2"/>
    </font>
    <font>
      <b/>
      <sz val="12"/>
      <color indexed="8"/>
      <name val="Arial"/>
      <family val="2"/>
    </font>
    <font>
      <b/>
      <sz val="12"/>
      <color indexed="8"/>
      <name val="Symbol"/>
      <charset val="2"/>
    </font>
    <font>
      <sz val="12"/>
      <color theme="1"/>
      <name val="Arial"/>
      <family val="2"/>
    </font>
    <font>
      <vertAlign val="subscript"/>
      <sz val="12"/>
      <color theme="1"/>
      <name val="Arial"/>
      <family val="2"/>
    </font>
    <font>
      <b/>
      <vertAlign val="subscript"/>
      <sz val="12"/>
      <color indexed="8"/>
      <name val="Arial"/>
      <family val="2"/>
    </font>
    <font>
      <b/>
      <vertAlign val="superscript"/>
      <sz val="12"/>
      <color indexed="8"/>
      <name val="Arial"/>
      <family val="2"/>
    </font>
    <font>
      <b/>
      <sz val="12"/>
      <color theme="1"/>
      <name val="Arial"/>
      <family val="2"/>
    </font>
    <font>
      <b/>
      <sz val="12"/>
      <color theme="1"/>
      <name val="Symbol"/>
      <charset val="2"/>
    </font>
    <font>
      <b/>
      <vertAlign val="subscript"/>
      <sz val="12"/>
      <color theme="1"/>
      <name val="Arial"/>
      <family val="2"/>
    </font>
    <font>
      <b/>
      <vertAlign val="superscript"/>
      <sz val="12"/>
      <color theme="1"/>
      <name val="Arial"/>
      <family val="2"/>
    </font>
    <font>
      <sz val="12"/>
      <name val="Arial"/>
      <family val="2"/>
    </font>
    <font>
      <u/>
      <sz val="12"/>
      <color theme="10"/>
      <name val="Calibri"/>
      <family val="2"/>
      <scheme val="minor"/>
    </font>
    <font>
      <u/>
      <sz val="12"/>
      <color theme="11"/>
      <name val="Calibri"/>
      <family val="2"/>
      <scheme val="minor"/>
    </font>
    <font>
      <b/>
      <vertAlign val="subscript"/>
      <sz val="12"/>
      <color theme="1"/>
      <name val="Calibri"/>
      <family val="2"/>
      <scheme val="minor"/>
    </font>
    <font>
      <b/>
      <sz val="12"/>
      <color rgb="FF000000"/>
      <name val="Symbol"/>
      <charset val="2"/>
    </font>
    <font>
      <sz val="12"/>
      <color rgb="FFFF0000"/>
      <name val="Calibri"/>
      <family val="2"/>
      <charset val="134"/>
      <scheme val="minor"/>
    </font>
    <font>
      <sz val="12"/>
      <color rgb="FF000000"/>
      <name val="Calibri"/>
      <family val="2"/>
      <charset val="134"/>
      <scheme val="minor"/>
    </font>
    <font>
      <b/>
      <i/>
      <sz val="12"/>
      <color theme="1"/>
      <name val="Calibri"/>
      <family val="2"/>
      <scheme val="minor"/>
    </font>
    <font>
      <b/>
      <vertAlign val="superscript"/>
      <sz val="12"/>
      <color theme="1"/>
      <name val="Calibri"/>
      <family val="2"/>
      <scheme val="minor"/>
    </font>
    <font>
      <i/>
      <sz val="12"/>
      <color theme="1"/>
      <name val="Calibri"/>
      <family val="2"/>
      <scheme val="minor"/>
    </font>
    <font>
      <i/>
      <sz val="12"/>
      <color theme="4"/>
      <name val="Calibri"/>
      <family val="2"/>
      <scheme val="minor"/>
    </font>
    <font>
      <i/>
      <sz val="12"/>
      <color theme="5"/>
      <name val="Calibri"/>
      <family val="2"/>
      <scheme val="minor"/>
    </font>
    <font>
      <i/>
      <vertAlign val="superscript"/>
      <sz val="12"/>
      <color theme="5"/>
      <name val="Calibri"/>
      <family val="2"/>
      <scheme val="minor"/>
    </font>
    <font>
      <b/>
      <sz val="12"/>
      <color rgb="FF000000"/>
      <name val="Calibri"/>
      <family val="2"/>
      <scheme val="minor"/>
    </font>
    <font>
      <b/>
      <vertAlign val="subscript"/>
      <sz val="12"/>
      <color rgb="FF000000"/>
      <name val="Calibri"/>
      <family val="2"/>
      <scheme val="minor"/>
    </font>
    <font>
      <sz val="12"/>
      <color theme="1"/>
      <name val="Arial"/>
      <family val="2"/>
    </font>
    <font>
      <b/>
      <sz val="12"/>
      <color indexed="8"/>
      <name val="Arial"/>
      <family val="2"/>
    </font>
  </fonts>
  <fills count="2">
    <fill>
      <patternFill patternType="none"/>
    </fill>
    <fill>
      <patternFill patternType="gray125"/>
    </fill>
  </fills>
  <borders count="6">
    <border>
      <left/>
      <right/>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bottom style="medium">
        <color auto="1"/>
      </bottom>
      <diagonal/>
    </border>
    <border>
      <left/>
      <right/>
      <top style="thin">
        <color auto="1"/>
      </top>
      <bottom style="medium">
        <color auto="1"/>
      </bottom>
      <diagonal/>
    </border>
  </borders>
  <cellStyleXfs count="573">
    <xf numFmtId="0" fontId="0"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cellStyleXfs>
  <cellXfs count="72">
    <xf numFmtId="0" fontId="0" fillId="0" borderId="0" xfId="0"/>
    <xf numFmtId="0" fontId="1" fillId="0" borderId="0" xfId="0" applyFont="1"/>
    <xf numFmtId="164" fontId="3" fillId="0" borderId="2" xfId="0" applyNumberFormat="1" applyFont="1" applyBorder="1" applyAlignment="1">
      <alignment horizontal="center" vertical="center" wrapText="1"/>
    </xf>
    <xf numFmtId="2" fontId="3" fillId="0" borderId="2" xfId="0" applyNumberFormat="1" applyFont="1" applyBorder="1" applyAlignment="1">
      <alignment horizontal="center" vertical="center"/>
    </xf>
    <xf numFmtId="0" fontId="9" fillId="0" borderId="3" xfId="0"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horizontal="center" vertical="center" wrapText="1"/>
    </xf>
    <xf numFmtId="1" fontId="3" fillId="0" borderId="2" xfId="0" applyNumberFormat="1" applyFont="1" applyBorder="1" applyAlignment="1">
      <alignment horizontal="center" vertical="center" wrapText="1"/>
    </xf>
    <xf numFmtId="0" fontId="3" fillId="0" borderId="2" xfId="0" applyFont="1" applyBorder="1" applyAlignment="1">
      <alignment horizontal="center" vertical="center" wrapText="1"/>
    </xf>
    <xf numFmtId="164" fontId="3" fillId="0" borderId="1" xfId="0" applyNumberFormat="1" applyFont="1" applyBorder="1" applyAlignment="1">
      <alignment horizontal="center" wrapText="1"/>
    </xf>
    <xf numFmtId="0" fontId="3" fillId="0" borderId="4" xfId="0" applyFont="1" applyBorder="1" applyAlignment="1">
      <alignment horizontal="right"/>
    </xf>
    <xf numFmtId="0" fontId="0" fillId="0" borderId="4" xfId="0" applyBorder="1"/>
    <xf numFmtId="164" fontId="3" fillId="0" borderId="5" xfId="0" applyNumberFormat="1" applyFont="1" applyBorder="1" applyAlignment="1">
      <alignment horizontal="center" vertical="center" wrapText="1"/>
    </xf>
    <xf numFmtId="0" fontId="3" fillId="0" borderId="4" xfId="0" applyFont="1" applyBorder="1" applyAlignment="1">
      <alignment horizontal="center"/>
    </xf>
    <xf numFmtId="0" fontId="5" fillId="0" borderId="1" xfId="0" applyFont="1" applyBorder="1" applyAlignment="1">
      <alignment horizontal="center" vertical="center" wrapTex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3" fillId="0" borderId="4" xfId="0" applyFont="1" applyBorder="1" applyAlignment="1">
      <alignment horizontal="center" vertical="center"/>
    </xf>
    <xf numFmtId="0" fontId="3" fillId="0" borderId="1" xfId="0" applyFont="1" applyBorder="1" applyAlignment="1">
      <alignment horizontal="center" vertical="center"/>
    </xf>
    <xf numFmtId="164" fontId="3" fillId="0" borderId="2" xfId="0" applyNumberFormat="1" applyFont="1" applyBorder="1" applyAlignment="1">
      <alignment horizontal="center" vertical="center"/>
    </xf>
    <xf numFmtId="164" fontId="2" fillId="0" borderId="2" xfId="0" applyNumberFormat="1" applyFont="1" applyBorder="1" applyAlignment="1">
      <alignment horizontal="center" vertical="center"/>
    </xf>
    <xf numFmtId="1" fontId="2" fillId="0" borderId="2" xfId="0" applyNumberFormat="1" applyFont="1" applyBorder="1" applyAlignment="1">
      <alignment horizontal="center" vertical="center"/>
    </xf>
    <xf numFmtId="0" fontId="3" fillId="0" borderId="2" xfId="0" applyFont="1" applyBorder="1" applyAlignment="1">
      <alignment horizontal="center" vertical="center"/>
    </xf>
    <xf numFmtId="0" fontId="2" fillId="0" borderId="2" xfId="0" applyFont="1" applyBorder="1" applyAlignment="1">
      <alignment horizontal="center" vertical="center"/>
    </xf>
    <xf numFmtId="11" fontId="3" fillId="0" borderId="2" xfId="0" applyNumberFormat="1" applyFont="1" applyBorder="1" applyAlignment="1">
      <alignment horizontal="center" vertical="center"/>
    </xf>
    <xf numFmtId="2" fontId="2" fillId="0" borderId="2" xfId="0" applyNumberFormat="1" applyFont="1" applyBorder="1" applyAlignment="1">
      <alignment horizontal="center" vertical="center"/>
    </xf>
    <xf numFmtId="2" fontId="13" fillId="0" borderId="2" xfId="0" applyNumberFormat="1" applyFont="1" applyBorder="1" applyAlignment="1">
      <alignment horizontal="center" vertical="center"/>
    </xf>
    <xf numFmtId="11" fontId="4" fillId="0" borderId="2" xfId="0" applyNumberFormat="1" applyFont="1" applyBorder="1" applyAlignment="1">
      <alignment horizontal="center" vertical="center"/>
    </xf>
    <xf numFmtId="164" fontId="4" fillId="0" borderId="2" xfId="0" applyNumberFormat="1" applyFont="1" applyBorder="1" applyAlignment="1">
      <alignment horizontal="center" vertical="center"/>
    </xf>
    <xf numFmtId="2" fontId="3" fillId="0" borderId="5" xfId="0" applyNumberFormat="1" applyFont="1" applyBorder="1" applyAlignment="1">
      <alignment horizontal="center" vertical="center"/>
    </xf>
    <xf numFmtId="2" fontId="2" fillId="0" borderId="5" xfId="0" applyNumberFormat="1" applyFont="1" applyBorder="1" applyAlignment="1">
      <alignment horizontal="center" vertical="center"/>
    </xf>
    <xf numFmtId="0" fontId="3" fillId="0" borderId="0" xfId="0" applyFont="1" applyAlignment="1">
      <alignment horizontal="center"/>
    </xf>
    <xf numFmtId="0" fontId="1" fillId="0" borderId="4" xfId="0" applyFont="1" applyBorder="1" applyAlignment="1">
      <alignment horizontal="center"/>
    </xf>
    <xf numFmtId="0" fontId="17" fillId="0" borderId="0" xfId="0" applyFont="1"/>
    <xf numFmtId="0" fontId="1" fillId="0" borderId="4" xfId="0" applyFont="1" applyBorder="1" applyAlignment="1">
      <alignmen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7" fillId="0" borderId="0" xfId="0" applyFont="1" applyAlignment="1">
      <alignment horizontal="center" vertical="center"/>
    </xf>
    <xf numFmtId="0" fontId="1" fillId="0" borderId="5" xfId="0" applyFont="1" applyBorder="1" applyAlignment="1">
      <alignment horizontal="center" vertical="center"/>
    </xf>
    <xf numFmtId="0" fontId="1" fillId="0" borderId="0" xfId="0" applyFont="1" applyAlignment="1">
      <alignment horizontal="center"/>
    </xf>
    <xf numFmtId="0" fontId="19" fillId="0" borderId="0" xfId="0" applyFont="1"/>
    <xf numFmtId="0" fontId="0" fillId="0" borderId="0" xfId="0" applyAlignment="1">
      <alignment horizontal="center"/>
    </xf>
    <xf numFmtId="2" fontId="0" fillId="0" borderId="0" xfId="0" applyNumberFormat="1"/>
    <xf numFmtId="164" fontId="0" fillId="0" borderId="0" xfId="0" applyNumberFormat="1"/>
    <xf numFmtId="165" fontId="0" fillId="0" borderId="0" xfId="0" applyNumberFormat="1"/>
    <xf numFmtId="0" fontId="1" fillId="0" borderId="0" xfId="0" applyFont="1" applyAlignment="1">
      <alignment horizontal="center" vertical="center" wrapText="1"/>
    </xf>
    <xf numFmtId="0" fontId="2" fillId="0" borderId="0" xfId="0" applyFont="1" applyAlignment="1">
      <alignment horizontal="center"/>
    </xf>
    <xf numFmtId="0" fontId="5" fillId="0" borderId="0" xfId="0" applyFont="1"/>
    <xf numFmtId="0" fontId="22" fillId="0" borderId="0" xfId="0" applyFont="1"/>
    <xf numFmtId="0" fontId="0" fillId="0" borderId="4" xfId="0" applyBorder="1" applyAlignment="1">
      <alignment horizontal="center"/>
    </xf>
    <xf numFmtId="0" fontId="0" fillId="0" borderId="0" xfId="0" applyAlignment="1">
      <alignment horizontal="left" vertical="center"/>
    </xf>
    <xf numFmtId="0" fontId="3" fillId="0" borderId="5" xfId="0" applyFont="1" applyBorder="1" applyAlignment="1">
      <alignment horizontal="center" vertical="center"/>
    </xf>
    <xf numFmtId="0" fontId="24" fillId="0" borderId="0" xfId="0" applyFont="1"/>
    <xf numFmtId="0" fontId="0" fillId="0" borderId="0" xfId="0" applyAlignment="1">
      <alignment vertical="center" wrapText="1"/>
    </xf>
    <xf numFmtId="0" fontId="19" fillId="0" borderId="0" xfId="0" applyFont="1" applyAlignment="1">
      <alignment horizontal="left" vertical="center"/>
    </xf>
    <xf numFmtId="0" fontId="26" fillId="0" borderId="0" xfId="0" applyFont="1"/>
    <xf numFmtId="0" fontId="19" fillId="0" borderId="0" xfId="0" applyFont="1" applyAlignment="1">
      <alignment horizontal="center"/>
    </xf>
    <xf numFmtId="164" fontId="19" fillId="0" borderId="0" xfId="0" applyNumberFormat="1" applyFont="1" applyAlignment="1">
      <alignment horizontal="center"/>
    </xf>
    <xf numFmtId="164" fontId="19" fillId="0" borderId="0" xfId="0" applyNumberFormat="1" applyFont="1"/>
    <xf numFmtId="0" fontId="26" fillId="0" borderId="0" xfId="0" applyFont="1" applyAlignment="1">
      <alignment horizontal="left" vertical="center"/>
    </xf>
    <xf numFmtId="0" fontId="26" fillId="0" borderId="0" xfId="0" applyFont="1" applyAlignment="1">
      <alignment horizontal="center"/>
    </xf>
    <xf numFmtId="0" fontId="28" fillId="0" borderId="0" xfId="0" applyFont="1" applyAlignment="1">
      <alignment horizontal="center" vertical="center"/>
    </xf>
    <xf numFmtId="1" fontId="29" fillId="0" borderId="2" xfId="0" applyNumberFormat="1" applyFont="1" applyBorder="1" applyAlignment="1">
      <alignment horizontal="center" vertical="center"/>
    </xf>
    <xf numFmtId="0" fontId="1" fillId="0" borderId="0" xfId="0" applyFont="1" applyAlignment="1">
      <alignment horizontal="center"/>
    </xf>
    <xf numFmtId="0" fontId="29" fillId="0" borderId="0" xfId="0" applyFont="1" applyAlignment="1">
      <alignment horizontal="center"/>
    </xf>
    <xf numFmtId="0" fontId="3" fillId="0" borderId="0" xfId="0" applyFont="1" applyAlignment="1">
      <alignment horizontal="center"/>
    </xf>
    <xf numFmtId="0" fontId="9" fillId="0" borderId="3" xfId="0"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horizontal="center" vertical="center" wrapText="1"/>
    </xf>
    <xf numFmtId="0" fontId="9" fillId="0" borderId="0" xfId="0" applyFont="1" applyAlignment="1">
      <alignment horizontal="center"/>
    </xf>
    <xf numFmtId="0" fontId="19" fillId="0" borderId="0" xfId="0" applyFont="1" applyAlignment="1">
      <alignment horizontal="left" vertical="center"/>
    </xf>
    <xf numFmtId="0" fontId="19" fillId="0" borderId="0" xfId="0" applyFont="1" applyAlignment="1">
      <alignment horizontal="left" vertical="center" wrapText="1"/>
    </xf>
  </cellXfs>
  <cellStyles count="57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8" builtinId="9" hidden="1"/>
    <cellStyle name="Followed Hyperlink" xfId="180" builtinId="9" hidden="1"/>
    <cellStyle name="Followed Hyperlink" xfId="182" builtinId="9" hidden="1"/>
    <cellStyle name="Followed Hyperlink" xfId="184" builtinId="9" hidden="1"/>
    <cellStyle name="Followed Hyperlink" xfId="186" builtinId="9" hidden="1"/>
    <cellStyle name="Followed Hyperlink" xfId="188" builtinId="9" hidden="1"/>
    <cellStyle name="Followed Hyperlink" xfId="190" builtinId="9" hidden="1"/>
    <cellStyle name="Followed Hyperlink" xfId="192" builtinId="9" hidden="1"/>
    <cellStyle name="Followed Hyperlink" xfId="194" builtinId="9" hidden="1"/>
    <cellStyle name="Followed Hyperlink" xfId="196" builtinId="9" hidden="1"/>
    <cellStyle name="Followed Hyperlink" xfId="198" builtinId="9" hidden="1"/>
    <cellStyle name="Followed Hyperlink" xfId="200" builtinId="9" hidden="1"/>
    <cellStyle name="Followed Hyperlink" xfId="202" builtinId="9" hidden="1"/>
    <cellStyle name="Followed Hyperlink" xfId="204" builtinId="9" hidden="1"/>
    <cellStyle name="Followed Hyperlink" xfId="206" builtinId="9" hidden="1"/>
    <cellStyle name="Followed Hyperlink" xfId="208" builtinId="9" hidden="1"/>
    <cellStyle name="Followed Hyperlink" xfId="210" builtinId="9" hidden="1"/>
    <cellStyle name="Followed Hyperlink" xfId="212" builtinId="9" hidden="1"/>
    <cellStyle name="Followed Hyperlink" xfId="214" builtinId="9" hidden="1"/>
    <cellStyle name="Followed Hyperlink" xfId="216" builtinId="9" hidden="1"/>
    <cellStyle name="Followed Hyperlink" xfId="218" builtinId="9" hidden="1"/>
    <cellStyle name="Followed Hyperlink" xfId="220" builtinId="9" hidden="1"/>
    <cellStyle name="Followed Hyperlink" xfId="222" builtinId="9" hidden="1"/>
    <cellStyle name="Followed Hyperlink" xfId="224" builtinId="9" hidden="1"/>
    <cellStyle name="Followed Hyperlink" xfId="226" builtinId="9" hidden="1"/>
    <cellStyle name="Followed Hyperlink" xfId="228" builtinId="9" hidden="1"/>
    <cellStyle name="Followed Hyperlink" xfId="230" builtinId="9" hidden="1"/>
    <cellStyle name="Followed Hyperlink" xfId="232" builtinId="9" hidden="1"/>
    <cellStyle name="Followed Hyperlink" xfId="234" builtinId="9" hidden="1"/>
    <cellStyle name="Followed Hyperlink" xfId="236" builtinId="9" hidden="1"/>
    <cellStyle name="Followed Hyperlink" xfId="238" builtinId="9" hidden="1"/>
    <cellStyle name="Followed Hyperlink" xfId="240" builtinId="9" hidden="1"/>
    <cellStyle name="Followed Hyperlink" xfId="242" builtinId="9" hidden="1"/>
    <cellStyle name="Followed Hyperlink" xfId="244" builtinId="9" hidden="1"/>
    <cellStyle name="Followed Hyperlink" xfId="246" builtinId="9" hidden="1"/>
    <cellStyle name="Followed Hyperlink" xfId="248" builtinId="9" hidden="1"/>
    <cellStyle name="Followed Hyperlink" xfId="250" builtinId="9" hidden="1"/>
    <cellStyle name="Followed Hyperlink" xfId="252" builtinId="9" hidden="1"/>
    <cellStyle name="Followed Hyperlink" xfId="254" builtinId="9" hidden="1"/>
    <cellStyle name="Followed Hyperlink" xfId="256" builtinId="9" hidden="1"/>
    <cellStyle name="Followed Hyperlink" xfId="258" builtinId="9" hidden="1"/>
    <cellStyle name="Followed Hyperlink" xfId="260" builtinId="9" hidden="1"/>
    <cellStyle name="Followed Hyperlink" xfId="262" builtinId="9" hidden="1"/>
    <cellStyle name="Followed Hyperlink" xfId="264" builtinId="9" hidden="1"/>
    <cellStyle name="Followed Hyperlink" xfId="266" builtinId="9" hidden="1"/>
    <cellStyle name="Followed Hyperlink" xfId="268" builtinId="9" hidden="1"/>
    <cellStyle name="Followed Hyperlink" xfId="270" builtinId="9" hidden="1"/>
    <cellStyle name="Followed Hyperlink" xfId="272" builtinId="9" hidden="1"/>
    <cellStyle name="Followed Hyperlink" xfId="274" builtinId="9" hidden="1"/>
    <cellStyle name="Followed Hyperlink" xfId="276" builtinId="9" hidden="1"/>
    <cellStyle name="Followed Hyperlink" xfId="278" builtinId="9" hidden="1"/>
    <cellStyle name="Followed Hyperlink" xfId="280" builtinId="9" hidden="1"/>
    <cellStyle name="Followed Hyperlink" xfId="282" builtinId="9" hidden="1"/>
    <cellStyle name="Followed Hyperlink" xfId="284" builtinId="9" hidden="1"/>
    <cellStyle name="Followed Hyperlink" xfId="286" builtinId="9" hidden="1"/>
    <cellStyle name="Followed Hyperlink" xfId="288" builtinId="9" hidden="1"/>
    <cellStyle name="Followed Hyperlink" xfId="290" builtinId="9" hidden="1"/>
    <cellStyle name="Followed Hyperlink" xfId="292" builtinId="9" hidden="1"/>
    <cellStyle name="Followed Hyperlink" xfId="294" builtinId="9" hidden="1"/>
    <cellStyle name="Followed Hyperlink" xfId="296" builtinId="9" hidden="1"/>
    <cellStyle name="Followed Hyperlink" xfId="298" builtinId="9" hidden="1"/>
    <cellStyle name="Followed Hyperlink" xfId="300" builtinId="9" hidden="1"/>
    <cellStyle name="Followed Hyperlink" xfId="302" builtinId="9" hidden="1"/>
    <cellStyle name="Followed Hyperlink" xfId="304" builtinId="9" hidden="1"/>
    <cellStyle name="Followed Hyperlink" xfId="306" builtinId="9" hidden="1"/>
    <cellStyle name="Followed Hyperlink" xfId="308" builtinId="9" hidden="1"/>
    <cellStyle name="Followed Hyperlink" xfId="310" builtinId="9" hidden="1"/>
    <cellStyle name="Followed Hyperlink" xfId="312" builtinId="9" hidden="1"/>
    <cellStyle name="Followed Hyperlink" xfId="314" builtinId="9" hidden="1"/>
    <cellStyle name="Followed Hyperlink" xfId="316" builtinId="9" hidden="1"/>
    <cellStyle name="Followed Hyperlink" xfId="318" builtinId="9" hidden="1"/>
    <cellStyle name="Followed Hyperlink" xfId="320" builtinId="9" hidden="1"/>
    <cellStyle name="Followed Hyperlink" xfId="322" builtinId="9" hidden="1"/>
    <cellStyle name="Followed Hyperlink" xfId="324" builtinId="9" hidden="1"/>
    <cellStyle name="Followed Hyperlink" xfId="326" builtinId="9" hidden="1"/>
    <cellStyle name="Followed Hyperlink" xfId="328" builtinId="9" hidden="1"/>
    <cellStyle name="Followed Hyperlink" xfId="330" builtinId="9" hidden="1"/>
    <cellStyle name="Followed Hyperlink" xfId="332" builtinId="9" hidden="1"/>
    <cellStyle name="Followed Hyperlink" xfId="334" builtinId="9" hidden="1"/>
    <cellStyle name="Followed Hyperlink" xfId="336" builtinId="9" hidden="1"/>
    <cellStyle name="Followed Hyperlink" xfId="338" builtinId="9" hidden="1"/>
    <cellStyle name="Followed Hyperlink" xfId="340" builtinId="9" hidden="1"/>
    <cellStyle name="Followed Hyperlink" xfId="342" builtinId="9" hidden="1"/>
    <cellStyle name="Followed Hyperlink" xfId="344" builtinId="9" hidden="1"/>
    <cellStyle name="Followed Hyperlink" xfId="346" builtinId="9" hidden="1"/>
    <cellStyle name="Followed Hyperlink" xfId="348" builtinId="9" hidden="1"/>
    <cellStyle name="Followed Hyperlink" xfId="350" builtinId="9" hidden="1"/>
    <cellStyle name="Followed Hyperlink" xfId="352" builtinId="9" hidden="1"/>
    <cellStyle name="Followed Hyperlink" xfId="354" builtinId="9" hidden="1"/>
    <cellStyle name="Followed Hyperlink" xfId="356" builtinId="9" hidden="1"/>
    <cellStyle name="Followed Hyperlink" xfId="358" builtinId="9" hidden="1"/>
    <cellStyle name="Followed Hyperlink" xfId="360" builtinId="9" hidden="1"/>
    <cellStyle name="Followed Hyperlink" xfId="362" builtinId="9" hidden="1"/>
    <cellStyle name="Followed Hyperlink" xfId="364" builtinId="9" hidden="1"/>
    <cellStyle name="Followed Hyperlink" xfId="366" builtinId="9" hidden="1"/>
    <cellStyle name="Followed Hyperlink" xfId="368" builtinId="9" hidden="1"/>
    <cellStyle name="Followed Hyperlink" xfId="370" builtinId="9" hidden="1"/>
    <cellStyle name="Followed Hyperlink" xfId="372" builtinId="9" hidden="1"/>
    <cellStyle name="Followed Hyperlink" xfId="374" builtinId="9" hidden="1"/>
    <cellStyle name="Followed Hyperlink" xfId="376" builtinId="9" hidden="1"/>
    <cellStyle name="Followed Hyperlink" xfId="378" builtinId="9" hidden="1"/>
    <cellStyle name="Followed Hyperlink" xfId="380" builtinId="9" hidden="1"/>
    <cellStyle name="Followed Hyperlink" xfId="382" builtinId="9" hidden="1"/>
    <cellStyle name="Followed Hyperlink" xfId="384" builtinId="9" hidden="1"/>
    <cellStyle name="Followed Hyperlink" xfId="386" builtinId="9" hidden="1"/>
    <cellStyle name="Followed Hyperlink" xfId="388" builtinId="9" hidden="1"/>
    <cellStyle name="Followed Hyperlink" xfId="390" builtinId="9" hidden="1"/>
    <cellStyle name="Followed Hyperlink" xfId="392" builtinId="9" hidden="1"/>
    <cellStyle name="Followed Hyperlink" xfId="394" builtinId="9" hidden="1"/>
    <cellStyle name="Followed Hyperlink" xfId="396" builtinId="9" hidden="1"/>
    <cellStyle name="Followed Hyperlink" xfId="398" builtinId="9" hidden="1"/>
    <cellStyle name="Followed Hyperlink" xfId="400" builtinId="9" hidden="1"/>
    <cellStyle name="Followed Hyperlink" xfId="402" builtinId="9" hidden="1"/>
    <cellStyle name="Followed Hyperlink" xfId="404" builtinId="9" hidden="1"/>
    <cellStyle name="Followed Hyperlink" xfId="406" builtinId="9" hidden="1"/>
    <cellStyle name="Followed Hyperlink" xfId="408" builtinId="9" hidden="1"/>
    <cellStyle name="Followed Hyperlink" xfId="410" builtinId="9" hidden="1"/>
    <cellStyle name="Followed Hyperlink" xfId="412" builtinId="9" hidden="1"/>
    <cellStyle name="Followed Hyperlink" xfId="414"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177" builtinId="8" hidden="1"/>
    <cellStyle name="Hyperlink" xfId="179" builtinId="8" hidden="1"/>
    <cellStyle name="Hyperlink" xfId="181" builtinId="8" hidden="1"/>
    <cellStyle name="Hyperlink" xfId="183" builtinId="8" hidden="1"/>
    <cellStyle name="Hyperlink" xfId="185" builtinId="8" hidden="1"/>
    <cellStyle name="Hyperlink" xfId="187" builtinId="8" hidden="1"/>
    <cellStyle name="Hyperlink" xfId="189" builtinId="8" hidden="1"/>
    <cellStyle name="Hyperlink" xfId="191" builtinId="8" hidden="1"/>
    <cellStyle name="Hyperlink" xfId="193" builtinId="8" hidden="1"/>
    <cellStyle name="Hyperlink" xfId="195" builtinId="8" hidden="1"/>
    <cellStyle name="Hyperlink" xfId="197" builtinId="8" hidden="1"/>
    <cellStyle name="Hyperlink" xfId="199" builtinId="8" hidden="1"/>
    <cellStyle name="Hyperlink" xfId="201" builtinId="8" hidden="1"/>
    <cellStyle name="Hyperlink" xfId="203" builtinId="8" hidden="1"/>
    <cellStyle name="Hyperlink" xfId="205" builtinId="8" hidden="1"/>
    <cellStyle name="Hyperlink" xfId="207" builtinId="8" hidden="1"/>
    <cellStyle name="Hyperlink" xfId="209" builtinId="8" hidden="1"/>
    <cellStyle name="Hyperlink" xfId="211" builtinId="8" hidden="1"/>
    <cellStyle name="Hyperlink" xfId="213" builtinId="8" hidden="1"/>
    <cellStyle name="Hyperlink" xfId="215" builtinId="8" hidden="1"/>
    <cellStyle name="Hyperlink" xfId="217" builtinId="8" hidden="1"/>
    <cellStyle name="Hyperlink" xfId="219" builtinId="8" hidden="1"/>
    <cellStyle name="Hyperlink" xfId="221" builtinId="8" hidden="1"/>
    <cellStyle name="Hyperlink" xfId="223" builtinId="8" hidden="1"/>
    <cellStyle name="Hyperlink" xfId="225" builtinId="8" hidden="1"/>
    <cellStyle name="Hyperlink" xfId="227" builtinId="8" hidden="1"/>
    <cellStyle name="Hyperlink" xfId="229" builtinId="8" hidden="1"/>
    <cellStyle name="Hyperlink" xfId="231" builtinId="8" hidden="1"/>
    <cellStyle name="Hyperlink" xfId="233" builtinId="8" hidden="1"/>
    <cellStyle name="Hyperlink" xfId="235" builtinId="8" hidden="1"/>
    <cellStyle name="Hyperlink" xfId="237" builtinId="8" hidden="1"/>
    <cellStyle name="Hyperlink" xfId="239" builtinId="8" hidden="1"/>
    <cellStyle name="Hyperlink" xfId="241" builtinId="8" hidden="1"/>
    <cellStyle name="Hyperlink" xfId="243" builtinId="8" hidden="1"/>
    <cellStyle name="Hyperlink" xfId="245" builtinId="8" hidden="1"/>
    <cellStyle name="Hyperlink" xfId="247" builtinId="8" hidden="1"/>
    <cellStyle name="Hyperlink" xfId="249" builtinId="8" hidden="1"/>
    <cellStyle name="Hyperlink" xfId="251" builtinId="8" hidden="1"/>
    <cellStyle name="Hyperlink" xfId="253" builtinId="8" hidden="1"/>
    <cellStyle name="Hyperlink" xfId="255" builtinId="8" hidden="1"/>
    <cellStyle name="Hyperlink" xfId="257" builtinId="8" hidden="1"/>
    <cellStyle name="Hyperlink" xfId="259" builtinId="8" hidden="1"/>
    <cellStyle name="Hyperlink" xfId="261" builtinId="8" hidden="1"/>
    <cellStyle name="Hyperlink" xfId="263" builtinId="8" hidden="1"/>
    <cellStyle name="Hyperlink" xfId="265" builtinId="8" hidden="1"/>
    <cellStyle name="Hyperlink" xfId="267" builtinId="8" hidden="1"/>
    <cellStyle name="Hyperlink" xfId="269" builtinId="8" hidden="1"/>
    <cellStyle name="Hyperlink" xfId="271" builtinId="8" hidden="1"/>
    <cellStyle name="Hyperlink" xfId="273" builtinId="8" hidden="1"/>
    <cellStyle name="Hyperlink" xfId="275" builtinId="8" hidden="1"/>
    <cellStyle name="Hyperlink" xfId="277" builtinId="8" hidden="1"/>
    <cellStyle name="Hyperlink" xfId="279" builtinId="8" hidden="1"/>
    <cellStyle name="Hyperlink" xfId="281" builtinId="8" hidden="1"/>
    <cellStyle name="Hyperlink" xfId="283" builtinId="8" hidden="1"/>
    <cellStyle name="Hyperlink" xfId="285" builtinId="8" hidden="1"/>
    <cellStyle name="Hyperlink" xfId="287" builtinId="8" hidden="1"/>
    <cellStyle name="Hyperlink" xfId="289" builtinId="8" hidden="1"/>
    <cellStyle name="Hyperlink" xfId="291" builtinId="8" hidden="1"/>
    <cellStyle name="Hyperlink" xfId="293" builtinId="8" hidden="1"/>
    <cellStyle name="Hyperlink" xfId="295" builtinId="8" hidden="1"/>
    <cellStyle name="Hyperlink" xfId="297" builtinId="8" hidden="1"/>
    <cellStyle name="Hyperlink" xfId="299" builtinId="8" hidden="1"/>
    <cellStyle name="Hyperlink" xfId="301" builtinId="8" hidden="1"/>
    <cellStyle name="Hyperlink" xfId="303" builtinId="8" hidden="1"/>
    <cellStyle name="Hyperlink" xfId="305" builtinId="8" hidden="1"/>
    <cellStyle name="Hyperlink" xfId="307" builtinId="8" hidden="1"/>
    <cellStyle name="Hyperlink" xfId="309" builtinId="8" hidden="1"/>
    <cellStyle name="Hyperlink" xfId="311" builtinId="8" hidden="1"/>
    <cellStyle name="Hyperlink" xfId="313" builtinId="8" hidden="1"/>
    <cellStyle name="Hyperlink" xfId="315" builtinId="8" hidden="1"/>
    <cellStyle name="Hyperlink" xfId="317" builtinId="8" hidden="1"/>
    <cellStyle name="Hyperlink" xfId="319" builtinId="8" hidden="1"/>
    <cellStyle name="Hyperlink" xfId="321" builtinId="8" hidden="1"/>
    <cellStyle name="Hyperlink" xfId="323" builtinId="8" hidden="1"/>
    <cellStyle name="Hyperlink" xfId="325" builtinId="8" hidden="1"/>
    <cellStyle name="Hyperlink" xfId="327" builtinId="8" hidden="1"/>
    <cellStyle name="Hyperlink" xfId="329" builtinId="8" hidden="1"/>
    <cellStyle name="Hyperlink" xfId="331" builtinId="8" hidden="1"/>
    <cellStyle name="Hyperlink" xfId="333" builtinId="8" hidden="1"/>
    <cellStyle name="Hyperlink" xfId="335" builtinId="8" hidden="1"/>
    <cellStyle name="Hyperlink" xfId="337" builtinId="8" hidden="1"/>
    <cellStyle name="Hyperlink" xfId="339" builtinId="8" hidden="1"/>
    <cellStyle name="Hyperlink" xfId="341" builtinId="8" hidden="1"/>
    <cellStyle name="Hyperlink" xfId="343" builtinId="8" hidden="1"/>
    <cellStyle name="Hyperlink" xfId="345" builtinId="8" hidden="1"/>
    <cellStyle name="Hyperlink" xfId="347" builtinId="8" hidden="1"/>
    <cellStyle name="Hyperlink" xfId="349" builtinId="8" hidden="1"/>
    <cellStyle name="Hyperlink" xfId="351" builtinId="8" hidden="1"/>
    <cellStyle name="Hyperlink" xfId="353" builtinId="8" hidden="1"/>
    <cellStyle name="Hyperlink" xfId="355" builtinId="8" hidden="1"/>
    <cellStyle name="Hyperlink" xfId="357" builtinId="8" hidden="1"/>
    <cellStyle name="Hyperlink" xfId="359" builtinId="8" hidden="1"/>
    <cellStyle name="Hyperlink" xfId="361" builtinId="8" hidden="1"/>
    <cellStyle name="Hyperlink" xfId="363" builtinId="8" hidden="1"/>
    <cellStyle name="Hyperlink" xfId="365" builtinId="8" hidden="1"/>
    <cellStyle name="Hyperlink" xfId="367" builtinId="8" hidden="1"/>
    <cellStyle name="Hyperlink" xfId="369" builtinId="8" hidden="1"/>
    <cellStyle name="Hyperlink" xfId="371" builtinId="8" hidden="1"/>
    <cellStyle name="Hyperlink" xfId="373" builtinId="8" hidden="1"/>
    <cellStyle name="Hyperlink" xfId="375" builtinId="8" hidden="1"/>
    <cellStyle name="Hyperlink" xfId="377" builtinId="8" hidden="1"/>
    <cellStyle name="Hyperlink" xfId="379" builtinId="8" hidden="1"/>
    <cellStyle name="Hyperlink" xfId="381" builtinId="8" hidden="1"/>
    <cellStyle name="Hyperlink" xfId="383" builtinId="8" hidden="1"/>
    <cellStyle name="Hyperlink" xfId="385" builtinId="8" hidden="1"/>
    <cellStyle name="Hyperlink" xfId="387" builtinId="8" hidden="1"/>
    <cellStyle name="Hyperlink" xfId="389" builtinId="8" hidden="1"/>
    <cellStyle name="Hyperlink" xfId="391" builtinId="8" hidden="1"/>
    <cellStyle name="Hyperlink" xfId="393" builtinId="8" hidden="1"/>
    <cellStyle name="Hyperlink" xfId="395" builtinId="8" hidden="1"/>
    <cellStyle name="Hyperlink" xfId="397" builtinId="8" hidden="1"/>
    <cellStyle name="Hyperlink" xfId="399" builtinId="8" hidden="1"/>
    <cellStyle name="Hyperlink" xfId="401" builtinId="8" hidden="1"/>
    <cellStyle name="Hyperlink" xfId="403" builtinId="8" hidden="1"/>
    <cellStyle name="Hyperlink" xfId="405" builtinId="8" hidden="1"/>
    <cellStyle name="Hyperlink" xfId="407" builtinId="8" hidden="1"/>
    <cellStyle name="Hyperlink" xfId="409" builtinId="8" hidden="1"/>
    <cellStyle name="Hyperlink" xfId="411" builtinId="8" hidden="1"/>
    <cellStyle name="Hyperlink" xfId="413" builtinId="8" hidden="1"/>
    <cellStyle name="Hyperlink" xfId="415"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Bulk Modulus (adiabatic)</a:t>
            </a:r>
          </a:p>
        </c:rich>
      </c:tx>
      <c:overlay val="0"/>
    </c:title>
    <c:autoTitleDeleted val="0"/>
    <c:plotArea>
      <c:layout>
        <c:manualLayout>
          <c:layoutTarget val="inner"/>
          <c:xMode val="edge"/>
          <c:yMode val="edge"/>
          <c:x val="0.146838789292244"/>
          <c:y val="0.222667200640769"/>
          <c:w val="0.63411941408114803"/>
          <c:h val="0.62376205777641802"/>
        </c:manualLayout>
      </c:layout>
      <c:scatterChart>
        <c:scatterStyle val="smoothMarker"/>
        <c:varyColors val="0"/>
        <c:ser>
          <c:idx val="0"/>
          <c:order val="0"/>
          <c:tx>
            <c:strRef>
              <c:f>Figures!$A$4</c:f>
              <c:strCache>
                <c:ptCount val="1"/>
                <c:pt idx="0">
                  <c:v>0.1</c:v>
                </c:pt>
              </c:strCache>
            </c:strRef>
          </c:tx>
          <c:spPr>
            <a:ln w="12700"/>
          </c:spPr>
          <c:marker>
            <c:symbol val="circle"/>
            <c:size val="3"/>
          </c:marker>
          <c:xVal>
            <c:numRef>
              <c:f>Figures!$B$4:$B$17</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Figures!$E$4:$E$17</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0-0351-FF41-A113-BAE2E3A97220}"/>
            </c:ext>
          </c:extLst>
        </c:ser>
        <c:ser>
          <c:idx val="1"/>
          <c:order val="1"/>
          <c:tx>
            <c:strRef>
              <c:f>Figures!$A$18</c:f>
              <c:strCache>
                <c:ptCount val="1"/>
                <c:pt idx="0">
                  <c:v>570.1</c:v>
                </c:pt>
              </c:strCache>
            </c:strRef>
          </c:tx>
          <c:spPr>
            <a:ln w="12700">
              <a:solidFill>
                <a:schemeClr val="accent4">
                  <a:lumMod val="75000"/>
                </a:schemeClr>
              </a:solidFill>
            </a:ln>
          </c:spPr>
          <c:marker>
            <c:symbol val="circle"/>
            <c:size val="3"/>
            <c:spPr>
              <a:solidFill>
                <a:schemeClr val="accent4">
                  <a:lumMod val="75000"/>
                </a:schemeClr>
              </a:solidFill>
              <a:ln>
                <a:solidFill>
                  <a:schemeClr val="accent4">
                    <a:lumMod val="75000"/>
                  </a:schemeClr>
                </a:solidFill>
              </a:ln>
            </c:spPr>
          </c:marker>
          <c:xVal>
            <c:numRef>
              <c:f>Figures!$B$18:$B$31</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Figures!$E$18:$E$31</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1-0351-FF41-A113-BAE2E3A97220}"/>
            </c:ext>
          </c:extLst>
        </c:ser>
        <c:ser>
          <c:idx val="2"/>
          <c:order val="2"/>
          <c:tx>
            <c:strRef>
              <c:f>Figures!$A$32</c:f>
              <c:strCache>
                <c:ptCount val="1"/>
                <c:pt idx="0">
                  <c:v>1140.1</c:v>
                </c:pt>
              </c:strCache>
            </c:strRef>
          </c:tx>
          <c:spPr>
            <a:ln w="12700">
              <a:solidFill>
                <a:schemeClr val="accent6">
                  <a:lumMod val="75000"/>
                </a:schemeClr>
              </a:solidFill>
            </a:ln>
          </c:spPr>
          <c:marker>
            <c:symbol val="circle"/>
            <c:size val="3"/>
            <c:spPr>
              <a:solidFill>
                <a:schemeClr val="accent6">
                  <a:lumMod val="75000"/>
                </a:schemeClr>
              </a:solidFill>
              <a:ln>
                <a:solidFill>
                  <a:schemeClr val="accent6">
                    <a:lumMod val="75000"/>
                  </a:schemeClr>
                </a:solidFill>
              </a:ln>
            </c:spPr>
          </c:marker>
          <c:xVal>
            <c:numRef>
              <c:f>Figures!$B$32:$B$45</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Figures!$E$32:$E$45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2-0351-FF41-A113-BAE2E3A97220}"/>
            </c:ext>
          </c:extLst>
        </c:ser>
        <c:ser>
          <c:idx val="3"/>
          <c:order val="3"/>
          <c:tx>
            <c:strRef>
              <c:f>Figures!$A$46</c:f>
              <c:strCache>
                <c:ptCount val="1"/>
                <c:pt idx="0">
                  <c:v>1711.1</c:v>
                </c:pt>
              </c:strCache>
            </c:strRef>
          </c:tx>
          <c:spPr>
            <a:ln w="12700">
              <a:solidFill>
                <a:schemeClr val="accent2">
                  <a:lumMod val="75000"/>
                </a:schemeClr>
              </a:solidFill>
            </a:ln>
          </c:spPr>
          <c:marker>
            <c:symbol val="circle"/>
            <c:size val="3"/>
            <c:spPr>
              <a:solidFill>
                <a:schemeClr val="accent2">
                  <a:lumMod val="75000"/>
                </a:schemeClr>
              </a:solidFill>
              <a:ln>
                <a:solidFill>
                  <a:schemeClr val="accent2">
                    <a:lumMod val="75000"/>
                  </a:schemeClr>
                </a:solidFill>
              </a:ln>
            </c:spPr>
          </c:marker>
          <c:xVal>
            <c:numRef>
              <c:f>Figures!$B$46:$B$59</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Figures!$E$46:$E$59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3-0351-FF41-A113-BAE2E3A97220}"/>
            </c:ext>
          </c:extLst>
        </c:ser>
        <c:dLbls>
          <c:showLegendKey val="0"/>
          <c:showVal val="0"/>
          <c:showCatName val="0"/>
          <c:showSerName val="0"/>
          <c:showPercent val="0"/>
          <c:showBubbleSize val="0"/>
        </c:dLbls>
        <c:axId val="-2091207144"/>
        <c:axId val="-2134920984"/>
      </c:scatterChart>
      <c:valAx>
        <c:axId val="-2091207144"/>
        <c:scaling>
          <c:orientation val="minMax"/>
          <c:max val="1000"/>
          <c:min val="250"/>
        </c:scaling>
        <c:delete val="0"/>
        <c:axPos val="b"/>
        <c:title>
          <c:tx>
            <c:rich>
              <a:bodyPr/>
              <a:lstStyle/>
              <a:p>
                <a:pPr>
                  <a:defRPr/>
                </a:pPr>
                <a:r>
                  <a:rPr lang="en-US"/>
                  <a:t>Temperature, K</a:t>
                </a:r>
              </a:p>
            </c:rich>
          </c:tx>
          <c:overlay val="0"/>
        </c:title>
        <c:numFmt formatCode="General" sourceLinked="1"/>
        <c:majorTickMark val="out"/>
        <c:minorTickMark val="none"/>
        <c:tickLblPos val="nextTo"/>
        <c:crossAx val="-2134920984"/>
        <c:crosses val="autoZero"/>
        <c:crossBetween val="midCat"/>
      </c:valAx>
      <c:valAx>
        <c:axId val="-2134920984"/>
        <c:scaling>
          <c:orientation val="minMax"/>
          <c:min val="40"/>
        </c:scaling>
        <c:delete val="0"/>
        <c:axPos val="l"/>
        <c:majorGridlines>
          <c:spPr>
            <a:ln>
              <a:noFill/>
            </a:ln>
          </c:spPr>
        </c:majorGridlines>
        <c:title>
          <c:tx>
            <c:rich>
              <a:bodyPr/>
              <a:lstStyle/>
              <a:p>
                <a:pPr>
                  <a:defRPr/>
                </a:pPr>
                <a:r>
                  <a:rPr lang="en-US"/>
                  <a:t>Bulk Modulus, GPa</a:t>
                </a:r>
              </a:p>
            </c:rich>
          </c:tx>
          <c:overlay val="0"/>
        </c:title>
        <c:numFmt formatCode="0.00" sourceLinked="1"/>
        <c:majorTickMark val="out"/>
        <c:minorTickMark val="none"/>
        <c:tickLblPos val="nextTo"/>
        <c:crossAx val="-2091207144"/>
        <c:crosses val="autoZero"/>
        <c:crossBetween val="midCat"/>
      </c:valAx>
    </c:plotArea>
    <c:legend>
      <c:legendPos val="r"/>
      <c:overlay val="0"/>
    </c:legend>
    <c:plotVisOnly val="1"/>
    <c:dispBlanksAs val="gap"/>
    <c:showDLblsOverMax val="0"/>
  </c:chart>
  <c:printSettings>
    <c:headerFooter/>
    <c:pageMargins b="1" l="0.75" r="0.75" t="1" header="0.5" footer="0.5"/>
    <c:pageSetup orientation="portrait" horizontalDpi="-4" verticalDpi="-4"/>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Shear Modulus</a:t>
            </a:r>
          </a:p>
        </c:rich>
      </c:tx>
      <c:overlay val="0"/>
    </c:title>
    <c:autoTitleDeleted val="0"/>
    <c:plotArea>
      <c:layout/>
      <c:scatterChart>
        <c:scatterStyle val="smoothMarker"/>
        <c:varyColors val="0"/>
        <c:ser>
          <c:idx val="0"/>
          <c:order val="0"/>
          <c:tx>
            <c:strRef>
              <c:f>Figures!$A$4</c:f>
              <c:strCache>
                <c:ptCount val="1"/>
                <c:pt idx="0">
                  <c:v>0.1</c:v>
                </c:pt>
              </c:strCache>
            </c:strRef>
          </c:tx>
          <c:spPr>
            <a:ln w="12700"/>
          </c:spPr>
          <c:marker>
            <c:symbol val="circle"/>
            <c:size val="3"/>
          </c:marker>
          <c:xVal>
            <c:numRef>
              <c:f>Figures!$B$4:$B$17</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Figures!$G$4:$G$17</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0-963D-994A-A60D-CF21F6938BDE}"/>
            </c:ext>
          </c:extLst>
        </c:ser>
        <c:ser>
          <c:idx val="1"/>
          <c:order val="1"/>
          <c:tx>
            <c:strRef>
              <c:f>Figures!$A$18</c:f>
              <c:strCache>
                <c:ptCount val="1"/>
                <c:pt idx="0">
                  <c:v>570.1</c:v>
                </c:pt>
              </c:strCache>
            </c:strRef>
          </c:tx>
          <c:spPr>
            <a:ln w="12700">
              <a:solidFill>
                <a:schemeClr val="accent4">
                  <a:lumMod val="75000"/>
                </a:schemeClr>
              </a:solidFill>
            </a:ln>
          </c:spPr>
          <c:marker>
            <c:symbol val="circle"/>
            <c:size val="3"/>
            <c:spPr>
              <a:solidFill>
                <a:schemeClr val="accent4">
                  <a:lumMod val="75000"/>
                </a:schemeClr>
              </a:solidFill>
              <a:ln>
                <a:solidFill>
                  <a:schemeClr val="accent4">
                    <a:lumMod val="75000"/>
                  </a:schemeClr>
                </a:solidFill>
              </a:ln>
            </c:spPr>
          </c:marker>
          <c:xVal>
            <c:numRef>
              <c:f>Figures!$B$18:$B$31</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Figures!$G$18:$G$31</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1-963D-994A-A60D-CF21F6938BDE}"/>
            </c:ext>
          </c:extLst>
        </c:ser>
        <c:ser>
          <c:idx val="2"/>
          <c:order val="2"/>
          <c:tx>
            <c:strRef>
              <c:f>Figures!$A$32</c:f>
              <c:strCache>
                <c:ptCount val="1"/>
                <c:pt idx="0">
                  <c:v>1140.1</c:v>
                </c:pt>
              </c:strCache>
            </c:strRef>
          </c:tx>
          <c:spPr>
            <a:ln w="12700">
              <a:solidFill>
                <a:schemeClr val="accent6">
                  <a:lumMod val="75000"/>
                </a:schemeClr>
              </a:solidFill>
            </a:ln>
          </c:spPr>
          <c:marker>
            <c:symbol val="circle"/>
            <c:size val="3"/>
            <c:spPr>
              <a:solidFill>
                <a:schemeClr val="accent6">
                  <a:lumMod val="75000"/>
                </a:schemeClr>
              </a:solidFill>
              <a:ln>
                <a:solidFill>
                  <a:schemeClr val="accent6">
                    <a:lumMod val="75000"/>
                  </a:schemeClr>
                </a:solidFill>
              </a:ln>
            </c:spPr>
          </c:marker>
          <c:xVal>
            <c:numRef>
              <c:f>Figures!$B$32:$B$45</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Figures!$G$32:$G$45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2-963D-994A-A60D-CF21F6938BDE}"/>
            </c:ext>
          </c:extLst>
        </c:ser>
        <c:ser>
          <c:idx val="3"/>
          <c:order val="3"/>
          <c:tx>
            <c:strRef>
              <c:f>Figures!$A$46</c:f>
              <c:strCache>
                <c:ptCount val="1"/>
                <c:pt idx="0">
                  <c:v>1711.1</c:v>
                </c:pt>
              </c:strCache>
            </c:strRef>
          </c:tx>
          <c:spPr>
            <a:ln w="12700">
              <a:solidFill>
                <a:schemeClr val="accent2">
                  <a:lumMod val="75000"/>
                </a:schemeClr>
              </a:solidFill>
            </a:ln>
          </c:spPr>
          <c:marker>
            <c:symbol val="circle"/>
            <c:size val="3"/>
            <c:spPr>
              <a:solidFill>
                <a:schemeClr val="accent2">
                  <a:lumMod val="75000"/>
                </a:schemeClr>
              </a:solidFill>
              <a:ln>
                <a:solidFill>
                  <a:schemeClr val="accent2">
                    <a:lumMod val="75000"/>
                  </a:schemeClr>
                </a:solidFill>
              </a:ln>
            </c:spPr>
          </c:marker>
          <c:xVal>
            <c:numRef>
              <c:f>Figures!$B$46:$B$59</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Figures!$G$46:$G$59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3-963D-994A-A60D-CF21F6938BDE}"/>
            </c:ext>
          </c:extLst>
        </c:ser>
        <c:dLbls>
          <c:showLegendKey val="0"/>
          <c:showVal val="0"/>
          <c:showCatName val="0"/>
          <c:showSerName val="0"/>
          <c:showPercent val="0"/>
          <c:showBubbleSize val="0"/>
        </c:dLbls>
        <c:axId val="-2135090968"/>
        <c:axId val="-2091460488"/>
      </c:scatterChart>
      <c:valAx>
        <c:axId val="-2135090968"/>
        <c:scaling>
          <c:orientation val="minMax"/>
          <c:max val="1000"/>
          <c:min val="250"/>
        </c:scaling>
        <c:delete val="0"/>
        <c:axPos val="b"/>
        <c:title>
          <c:tx>
            <c:rich>
              <a:bodyPr/>
              <a:lstStyle/>
              <a:p>
                <a:pPr>
                  <a:defRPr/>
                </a:pPr>
                <a:r>
                  <a:rPr lang="en-US"/>
                  <a:t>Temperature, K</a:t>
                </a:r>
              </a:p>
            </c:rich>
          </c:tx>
          <c:overlay val="0"/>
        </c:title>
        <c:numFmt formatCode="General" sourceLinked="1"/>
        <c:majorTickMark val="out"/>
        <c:minorTickMark val="none"/>
        <c:tickLblPos val="nextTo"/>
        <c:crossAx val="-2091460488"/>
        <c:crosses val="autoZero"/>
        <c:crossBetween val="midCat"/>
      </c:valAx>
      <c:valAx>
        <c:axId val="-2091460488"/>
        <c:scaling>
          <c:orientation val="minMax"/>
          <c:min val="15"/>
        </c:scaling>
        <c:delete val="0"/>
        <c:axPos val="l"/>
        <c:majorGridlines>
          <c:spPr>
            <a:ln>
              <a:noFill/>
            </a:ln>
          </c:spPr>
        </c:majorGridlines>
        <c:title>
          <c:tx>
            <c:rich>
              <a:bodyPr/>
              <a:lstStyle/>
              <a:p>
                <a:pPr>
                  <a:defRPr/>
                </a:pPr>
                <a:r>
                  <a:rPr lang="en-US"/>
                  <a:t>Shear </a:t>
                </a:r>
                <a:r>
                  <a:rPr lang="en-US" sz="1000" b="1" i="0" u="none" strike="noStrike" baseline="0">
                    <a:effectLst/>
                  </a:rPr>
                  <a:t>Modulus, GPa</a:t>
                </a:r>
                <a:r>
                  <a:rPr lang="en-US" sz="1000" b="1" i="0" u="none" strike="noStrike" baseline="0"/>
                  <a:t> </a:t>
                </a:r>
                <a:endParaRPr lang="en-US"/>
              </a:p>
            </c:rich>
          </c:tx>
          <c:overlay val="0"/>
        </c:title>
        <c:numFmt formatCode="0.00" sourceLinked="1"/>
        <c:majorTickMark val="out"/>
        <c:minorTickMark val="none"/>
        <c:tickLblPos val="nextTo"/>
        <c:crossAx val="-2135090968"/>
        <c:crosses val="autoZero"/>
        <c:crossBetween val="midCat"/>
      </c:valAx>
    </c:plotArea>
    <c:legend>
      <c:legendPos val="r"/>
      <c:overlay val="0"/>
    </c:legend>
    <c:plotVisOnly val="1"/>
    <c:dispBlanksAs val="gap"/>
    <c:showDLblsOverMax val="0"/>
  </c:chart>
  <c:printSettings>
    <c:headerFooter/>
    <c:pageMargins b="1" l="0.75" r="0.75" t="1" header="0.5" footer="0.5"/>
    <c:pageSetup orientation="portrait" horizontalDpi="-4" verticalDpi="-4"/>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Expansivity</a:t>
            </a:r>
          </a:p>
        </c:rich>
      </c:tx>
      <c:overlay val="0"/>
    </c:title>
    <c:autoTitleDeleted val="0"/>
    <c:plotArea>
      <c:layout/>
      <c:scatterChart>
        <c:scatterStyle val="smoothMarker"/>
        <c:varyColors val="0"/>
        <c:ser>
          <c:idx val="0"/>
          <c:order val="0"/>
          <c:tx>
            <c:strRef>
              <c:f>Figures!$A$4</c:f>
              <c:strCache>
                <c:ptCount val="1"/>
                <c:pt idx="0">
                  <c:v>0.1</c:v>
                </c:pt>
              </c:strCache>
            </c:strRef>
          </c:tx>
          <c:spPr>
            <a:ln w="12700"/>
          </c:spPr>
          <c:marker>
            <c:symbol val="circle"/>
            <c:size val="3"/>
          </c:marker>
          <c:xVal>
            <c:numRef>
              <c:f>Figures!$B$4:$B$17</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Figures!$C$4:$C$17</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0-11B4-8E41-B36A-48845F8B7E9A}"/>
            </c:ext>
          </c:extLst>
        </c:ser>
        <c:ser>
          <c:idx val="1"/>
          <c:order val="1"/>
          <c:tx>
            <c:strRef>
              <c:f>Figures!$A$18</c:f>
              <c:strCache>
                <c:ptCount val="1"/>
                <c:pt idx="0">
                  <c:v>570.1</c:v>
                </c:pt>
              </c:strCache>
            </c:strRef>
          </c:tx>
          <c:spPr>
            <a:ln w="12700">
              <a:solidFill>
                <a:schemeClr val="accent4">
                  <a:lumMod val="75000"/>
                </a:schemeClr>
              </a:solidFill>
            </a:ln>
          </c:spPr>
          <c:marker>
            <c:symbol val="circle"/>
            <c:size val="3"/>
            <c:spPr>
              <a:solidFill>
                <a:schemeClr val="accent4">
                  <a:lumMod val="75000"/>
                </a:schemeClr>
              </a:solidFill>
              <a:ln>
                <a:solidFill>
                  <a:schemeClr val="accent4">
                    <a:lumMod val="75000"/>
                  </a:schemeClr>
                </a:solidFill>
              </a:ln>
            </c:spPr>
          </c:marker>
          <c:xVal>
            <c:numRef>
              <c:f>Figures!$B$18:$B$31</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Figures!$C$18:$C$31</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1-11B4-8E41-B36A-48845F8B7E9A}"/>
            </c:ext>
          </c:extLst>
        </c:ser>
        <c:ser>
          <c:idx val="2"/>
          <c:order val="2"/>
          <c:tx>
            <c:strRef>
              <c:f>Figures!$A$32</c:f>
              <c:strCache>
                <c:ptCount val="1"/>
                <c:pt idx="0">
                  <c:v>1140.1</c:v>
                </c:pt>
              </c:strCache>
            </c:strRef>
          </c:tx>
          <c:spPr>
            <a:ln w="12700">
              <a:solidFill>
                <a:schemeClr val="accent6">
                  <a:lumMod val="75000"/>
                </a:schemeClr>
              </a:solidFill>
            </a:ln>
          </c:spPr>
          <c:marker>
            <c:symbol val="circle"/>
            <c:size val="3"/>
            <c:spPr>
              <a:solidFill>
                <a:schemeClr val="accent6">
                  <a:lumMod val="75000"/>
                </a:schemeClr>
              </a:solidFill>
              <a:ln>
                <a:solidFill>
                  <a:schemeClr val="accent6">
                    <a:lumMod val="75000"/>
                  </a:schemeClr>
                </a:solidFill>
              </a:ln>
            </c:spPr>
          </c:marker>
          <c:xVal>
            <c:numRef>
              <c:f>Figures!$B$32:$B$45</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Figures!$C$32:$C$45</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2-11B4-8E41-B36A-48845F8B7E9A}"/>
            </c:ext>
          </c:extLst>
        </c:ser>
        <c:ser>
          <c:idx val="3"/>
          <c:order val="3"/>
          <c:tx>
            <c:strRef>
              <c:f>Figures!$A$46</c:f>
              <c:strCache>
                <c:ptCount val="1"/>
                <c:pt idx="0">
                  <c:v>1711.1</c:v>
                </c:pt>
              </c:strCache>
            </c:strRef>
          </c:tx>
          <c:spPr>
            <a:ln w="12700">
              <a:solidFill>
                <a:schemeClr val="accent2">
                  <a:lumMod val="75000"/>
                </a:schemeClr>
              </a:solidFill>
            </a:ln>
          </c:spPr>
          <c:marker>
            <c:symbol val="circle"/>
            <c:size val="3"/>
            <c:spPr>
              <a:solidFill>
                <a:schemeClr val="accent2">
                  <a:lumMod val="75000"/>
                </a:schemeClr>
              </a:solidFill>
              <a:ln>
                <a:solidFill>
                  <a:schemeClr val="accent2">
                    <a:lumMod val="75000"/>
                  </a:schemeClr>
                </a:solidFill>
              </a:ln>
            </c:spPr>
          </c:marker>
          <c:xVal>
            <c:numRef>
              <c:f>Figures!$B$46:$B$59</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Figures!$C$46:$C$59</c:f>
              <c:numCache>
                <c:formatCode>General</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3-11B4-8E41-B36A-48845F8B7E9A}"/>
            </c:ext>
          </c:extLst>
        </c:ser>
        <c:dLbls>
          <c:showLegendKey val="0"/>
          <c:showVal val="0"/>
          <c:showCatName val="0"/>
          <c:showSerName val="0"/>
          <c:showPercent val="0"/>
          <c:showBubbleSize val="0"/>
        </c:dLbls>
        <c:axId val="-2092497640"/>
        <c:axId val="-2133095576"/>
      </c:scatterChart>
      <c:valAx>
        <c:axId val="-2092497640"/>
        <c:scaling>
          <c:orientation val="minMax"/>
          <c:max val="1000"/>
          <c:min val="250"/>
        </c:scaling>
        <c:delete val="0"/>
        <c:axPos val="b"/>
        <c:title>
          <c:tx>
            <c:rich>
              <a:bodyPr/>
              <a:lstStyle/>
              <a:p>
                <a:pPr>
                  <a:defRPr/>
                </a:pPr>
                <a:r>
                  <a:rPr lang="en-US"/>
                  <a:t>Temperature, K</a:t>
                </a:r>
              </a:p>
            </c:rich>
          </c:tx>
          <c:overlay val="0"/>
        </c:title>
        <c:numFmt formatCode="General" sourceLinked="1"/>
        <c:majorTickMark val="out"/>
        <c:minorTickMark val="none"/>
        <c:tickLblPos val="nextTo"/>
        <c:crossAx val="-2133095576"/>
        <c:crosses val="autoZero"/>
        <c:crossBetween val="midCat"/>
      </c:valAx>
      <c:valAx>
        <c:axId val="-2133095576"/>
        <c:scaling>
          <c:orientation val="minMax"/>
          <c:min val="1.0000000000000001E-5"/>
        </c:scaling>
        <c:delete val="0"/>
        <c:axPos val="l"/>
        <c:majorGridlines>
          <c:spPr>
            <a:ln>
              <a:noFill/>
            </a:ln>
          </c:spPr>
        </c:majorGridlines>
        <c:title>
          <c:tx>
            <c:rich>
              <a:bodyPr/>
              <a:lstStyle/>
              <a:p>
                <a:pPr>
                  <a:defRPr/>
                </a:pPr>
                <a:r>
                  <a:rPr lang="en-US"/>
                  <a:t>Expansivity, K</a:t>
                </a:r>
                <a:r>
                  <a:rPr lang="en-US" baseline="30000"/>
                  <a:t>-1</a:t>
                </a:r>
              </a:p>
            </c:rich>
          </c:tx>
          <c:overlay val="0"/>
        </c:title>
        <c:numFmt formatCode="General" sourceLinked="1"/>
        <c:majorTickMark val="out"/>
        <c:minorTickMark val="none"/>
        <c:tickLblPos val="nextTo"/>
        <c:crossAx val="-2092497640"/>
        <c:crosses val="autoZero"/>
        <c:crossBetween val="midCat"/>
        <c:majorUnit val="1.0000000000000001E-5"/>
      </c:valAx>
    </c:plotArea>
    <c:legend>
      <c:legendPos val="r"/>
      <c:overlay val="0"/>
    </c:legend>
    <c:plotVisOnly val="1"/>
    <c:dispBlanksAs val="gap"/>
    <c:showDLblsOverMax val="0"/>
  </c:chart>
  <c:printSettings>
    <c:headerFooter/>
    <c:pageMargins b="1" l="0.75" r="0.75" t="1" header="0.5" footer="0.5"/>
    <c:pageSetup orientation="portrait" horizontalDpi="-4" verticalDpi="-4"/>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Density</a:t>
            </a:r>
          </a:p>
        </c:rich>
      </c:tx>
      <c:overlay val="0"/>
    </c:title>
    <c:autoTitleDeleted val="0"/>
    <c:plotArea>
      <c:layout/>
      <c:scatterChart>
        <c:scatterStyle val="smoothMarker"/>
        <c:varyColors val="0"/>
        <c:ser>
          <c:idx val="0"/>
          <c:order val="0"/>
          <c:tx>
            <c:strRef>
              <c:f>Figures!$A$4</c:f>
              <c:strCache>
                <c:ptCount val="1"/>
                <c:pt idx="0">
                  <c:v>0.1</c:v>
                </c:pt>
              </c:strCache>
            </c:strRef>
          </c:tx>
          <c:spPr>
            <a:ln w="12700"/>
          </c:spPr>
          <c:marker>
            <c:symbol val="circle"/>
            <c:size val="3"/>
          </c:marker>
          <c:xVal>
            <c:numRef>
              <c:f>Figures!$B$4:$B$17</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Figures!$D$4:$D$17</c:f>
              <c:numCache>
                <c:formatCode>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0-371C-B045-BB63-0A0FD08F446B}"/>
            </c:ext>
          </c:extLst>
        </c:ser>
        <c:ser>
          <c:idx val="1"/>
          <c:order val="1"/>
          <c:tx>
            <c:strRef>
              <c:f>Figures!$A$18</c:f>
              <c:strCache>
                <c:ptCount val="1"/>
                <c:pt idx="0">
                  <c:v>570.1</c:v>
                </c:pt>
              </c:strCache>
            </c:strRef>
          </c:tx>
          <c:spPr>
            <a:ln w="12700">
              <a:solidFill>
                <a:schemeClr val="accent4">
                  <a:lumMod val="75000"/>
                </a:schemeClr>
              </a:solidFill>
            </a:ln>
          </c:spPr>
          <c:marker>
            <c:symbol val="circle"/>
            <c:size val="3"/>
            <c:spPr>
              <a:solidFill>
                <a:schemeClr val="accent4">
                  <a:lumMod val="75000"/>
                </a:schemeClr>
              </a:solidFill>
              <a:ln>
                <a:solidFill>
                  <a:schemeClr val="accent4">
                    <a:lumMod val="75000"/>
                  </a:schemeClr>
                </a:solidFill>
              </a:ln>
            </c:spPr>
          </c:marker>
          <c:xVal>
            <c:numRef>
              <c:f>Figures!$B$18:$B$31</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Figures!$D$18:$D$31</c:f>
              <c:numCache>
                <c:formatCode>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1-371C-B045-BB63-0A0FD08F446B}"/>
            </c:ext>
          </c:extLst>
        </c:ser>
        <c:ser>
          <c:idx val="2"/>
          <c:order val="2"/>
          <c:tx>
            <c:strRef>
              <c:f>Figures!$A$32</c:f>
              <c:strCache>
                <c:ptCount val="1"/>
                <c:pt idx="0">
                  <c:v>1140.1</c:v>
                </c:pt>
              </c:strCache>
            </c:strRef>
          </c:tx>
          <c:spPr>
            <a:ln w="12700">
              <a:solidFill>
                <a:schemeClr val="accent6">
                  <a:lumMod val="75000"/>
                </a:schemeClr>
              </a:solidFill>
            </a:ln>
          </c:spPr>
          <c:marker>
            <c:symbol val="circle"/>
            <c:size val="3"/>
            <c:spPr>
              <a:solidFill>
                <a:schemeClr val="accent6">
                  <a:lumMod val="75000"/>
                </a:schemeClr>
              </a:solidFill>
              <a:ln>
                <a:solidFill>
                  <a:schemeClr val="accent6">
                    <a:lumMod val="75000"/>
                  </a:schemeClr>
                </a:solidFill>
              </a:ln>
            </c:spPr>
          </c:marker>
          <c:xVal>
            <c:numRef>
              <c:f>Figures!$B$32:$B$45</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Figures!$D$32:$D$45</c:f>
              <c:numCache>
                <c:formatCode>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2-371C-B045-BB63-0A0FD08F446B}"/>
            </c:ext>
          </c:extLst>
        </c:ser>
        <c:ser>
          <c:idx val="3"/>
          <c:order val="3"/>
          <c:tx>
            <c:strRef>
              <c:f>Figures!$A$46</c:f>
              <c:strCache>
                <c:ptCount val="1"/>
                <c:pt idx="0">
                  <c:v>1711.1</c:v>
                </c:pt>
              </c:strCache>
            </c:strRef>
          </c:tx>
          <c:spPr>
            <a:ln w="12700">
              <a:solidFill>
                <a:schemeClr val="accent2">
                  <a:lumMod val="75000"/>
                </a:schemeClr>
              </a:solidFill>
            </a:ln>
          </c:spPr>
          <c:marker>
            <c:symbol val="circle"/>
            <c:size val="3"/>
            <c:spPr>
              <a:solidFill>
                <a:schemeClr val="accent2">
                  <a:lumMod val="75000"/>
                </a:schemeClr>
              </a:solidFill>
              <a:ln>
                <a:solidFill>
                  <a:schemeClr val="accent2">
                    <a:lumMod val="75000"/>
                  </a:schemeClr>
                </a:solidFill>
              </a:ln>
            </c:spPr>
          </c:marker>
          <c:xVal>
            <c:numRef>
              <c:f>Figures!$B$46:$B$59</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Figures!$D$46:$D$59</c:f>
              <c:numCache>
                <c:formatCode>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3-371C-B045-BB63-0A0FD08F446B}"/>
            </c:ext>
          </c:extLst>
        </c:ser>
        <c:dLbls>
          <c:showLegendKey val="0"/>
          <c:showVal val="0"/>
          <c:showCatName val="0"/>
          <c:showSerName val="0"/>
          <c:showPercent val="0"/>
          <c:showBubbleSize val="0"/>
        </c:dLbls>
        <c:axId val="-2084793736"/>
        <c:axId val="2135510776"/>
      </c:scatterChart>
      <c:valAx>
        <c:axId val="-2084793736"/>
        <c:scaling>
          <c:orientation val="minMax"/>
          <c:max val="1000"/>
          <c:min val="250"/>
        </c:scaling>
        <c:delete val="0"/>
        <c:axPos val="b"/>
        <c:title>
          <c:tx>
            <c:rich>
              <a:bodyPr/>
              <a:lstStyle/>
              <a:p>
                <a:pPr>
                  <a:defRPr/>
                </a:pPr>
                <a:r>
                  <a:rPr lang="en-US"/>
                  <a:t>Temperature, K</a:t>
                </a:r>
              </a:p>
            </c:rich>
          </c:tx>
          <c:overlay val="0"/>
        </c:title>
        <c:numFmt formatCode="General" sourceLinked="1"/>
        <c:majorTickMark val="out"/>
        <c:minorTickMark val="none"/>
        <c:tickLblPos val="nextTo"/>
        <c:crossAx val="2135510776"/>
        <c:crosses val="autoZero"/>
        <c:crossBetween val="midCat"/>
      </c:valAx>
      <c:valAx>
        <c:axId val="2135510776"/>
        <c:scaling>
          <c:orientation val="minMax"/>
          <c:min val="2600"/>
        </c:scaling>
        <c:delete val="0"/>
        <c:axPos val="l"/>
        <c:majorGridlines>
          <c:spPr>
            <a:ln>
              <a:noFill/>
            </a:ln>
          </c:spPr>
        </c:majorGridlines>
        <c:title>
          <c:tx>
            <c:rich>
              <a:bodyPr/>
              <a:lstStyle/>
              <a:p>
                <a:pPr>
                  <a:defRPr/>
                </a:pPr>
                <a:r>
                  <a:rPr lang="en-US"/>
                  <a:t>Density</a:t>
                </a:r>
                <a:r>
                  <a:rPr lang="en-US" baseline="0"/>
                  <a:t>, kg m</a:t>
                </a:r>
                <a:r>
                  <a:rPr lang="en-US" baseline="30000"/>
                  <a:t>-3</a:t>
                </a:r>
              </a:p>
            </c:rich>
          </c:tx>
          <c:overlay val="0"/>
        </c:title>
        <c:numFmt formatCode="0.0" sourceLinked="1"/>
        <c:majorTickMark val="out"/>
        <c:minorTickMark val="none"/>
        <c:tickLblPos val="nextTo"/>
        <c:crossAx val="-2084793736"/>
        <c:crosses val="autoZero"/>
        <c:crossBetween val="midCat"/>
      </c:valAx>
    </c:plotArea>
    <c:legend>
      <c:legendPos val="r"/>
      <c:overlay val="0"/>
    </c:legend>
    <c:plotVisOnly val="1"/>
    <c:dispBlanksAs val="gap"/>
    <c:showDLblsOverMax val="0"/>
  </c:chart>
  <c:printSettings>
    <c:headerFooter/>
    <c:pageMargins b="1" l="0.75" r="0.75" t="1" header="0.5" footer="0.5"/>
    <c:pageSetup orientation="portrait" horizontalDpi="-4" verticalDpi="-4"/>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P-wave</a:t>
            </a:r>
            <a:r>
              <a:rPr lang="en-US" baseline="0"/>
              <a:t> Velocity</a:t>
            </a:r>
            <a:endParaRPr lang="en-US"/>
          </a:p>
        </c:rich>
      </c:tx>
      <c:overlay val="0"/>
    </c:title>
    <c:autoTitleDeleted val="0"/>
    <c:plotArea>
      <c:layout/>
      <c:scatterChart>
        <c:scatterStyle val="smoothMarker"/>
        <c:varyColors val="0"/>
        <c:ser>
          <c:idx val="0"/>
          <c:order val="0"/>
          <c:tx>
            <c:strRef>
              <c:f>Figures!$A$4</c:f>
              <c:strCache>
                <c:ptCount val="1"/>
                <c:pt idx="0">
                  <c:v>0.1</c:v>
                </c:pt>
              </c:strCache>
            </c:strRef>
          </c:tx>
          <c:spPr>
            <a:ln w="12700"/>
          </c:spPr>
          <c:marker>
            <c:symbol val="circle"/>
            <c:size val="3"/>
          </c:marker>
          <c:xVal>
            <c:numRef>
              <c:f>Figures!$B$4:$B$17</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Figures!$I$4:$I$17</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0-87EA-2E4A-9899-82795CC4B28E}"/>
            </c:ext>
          </c:extLst>
        </c:ser>
        <c:ser>
          <c:idx val="1"/>
          <c:order val="1"/>
          <c:tx>
            <c:strRef>
              <c:f>Figures!$A$18</c:f>
              <c:strCache>
                <c:ptCount val="1"/>
                <c:pt idx="0">
                  <c:v>570.1</c:v>
                </c:pt>
              </c:strCache>
            </c:strRef>
          </c:tx>
          <c:spPr>
            <a:ln w="12700">
              <a:solidFill>
                <a:schemeClr val="accent4">
                  <a:lumMod val="75000"/>
                </a:schemeClr>
              </a:solidFill>
            </a:ln>
          </c:spPr>
          <c:marker>
            <c:symbol val="circle"/>
            <c:size val="3"/>
            <c:spPr>
              <a:solidFill>
                <a:schemeClr val="accent4">
                  <a:lumMod val="75000"/>
                </a:schemeClr>
              </a:solidFill>
              <a:ln>
                <a:solidFill>
                  <a:schemeClr val="accent4">
                    <a:lumMod val="75000"/>
                  </a:schemeClr>
                </a:solidFill>
              </a:ln>
            </c:spPr>
          </c:marker>
          <c:xVal>
            <c:numRef>
              <c:f>Figures!$B$18:$B$31</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Figures!$I$18:$I$31</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1-87EA-2E4A-9899-82795CC4B28E}"/>
            </c:ext>
          </c:extLst>
        </c:ser>
        <c:ser>
          <c:idx val="2"/>
          <c:order val="2"/>
          <c:tx>
            <c:strRef>
              <c:f>Figures!$A$32</c:f>
              <c:strCache>
                <c:ptCount val="1"/>
                <c:pt idx="0">
                  <c:v>1140.1</c:v>
                </c:pt>
              </c:strCache>
            </c:strRef>
          </c:tx>
          <c:spPr>
            <a:ln w="12700">
              <a:solidFill>
                <a:schemeClr val="accent6">
                  <a:lumMod val="75000"/>
                </a:schemeClr>
              </a:solidFill>
            </a:ln>
          </c:spPr>
          <c:marker>
            <c:symbol val="circle"/>
            <c:size val="3"/>
            <c:spPr>
              <a:solidFill>
                <a:schemeClr val="accent6">
                  <a:lumMod val="75000"/>
                </a:schemeClr>
              </a:solidFill>
              <a:ln>
                <a:solidFill>
                  <a:schemeClr val="accent6">
                    <a:lumMod val="75000"/>
                  </a:schemeClr>
                </a:solidFill>
              </a:ln>
            </c:spPr>
          </c:marker>
          <c:xVal>
            <c:numRef>
              <c:f>Figures!$B$32:$B$45</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Figures!$I$32:$I$45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2-87EA-2E4A-9899-82795CC4B28E}"/>
            </c:ext>
          </c:extLst>
        </c:ser>
        <c:ser>
          <c:idx val="3"/>
          <c:order val="3"/>
          <c:tx>
            <c:strRef>
              <c:f>Figures!$A$46</c:f>
              <c:strCache>
                <c:ptCount val="1"/>
                <c:pt idx="0">
                  <c:v>1711.1</c:v>
                </c:pt>
              </c:strCache>
            </c:strRef>
          </c:tx>
          <c:spPr>
            <a:ln w="12700">
              <a:solidFill>
                <a:schemeClr val="accent2">
                  <a:lumMod val="75000"/>
                </a:schemeClr>
              </a:solidFill>
            </a:ln>
          </c:spPr>
          <c:marker>
            <c:symbol val="circle"/>
            <c:size val="3"/>
            <c:spPr>
              <a:solidFill>
                <a:schemeClr val="accent2">
                  <a:lumMod val="75000"/>
                </a:schemeClr>
              </a:solidFill>
              <a:ln>
                <a:solidFill>
                  <a:schemeClr val="accent2">
                    <a:lumMod val="75000"/>
                  </a:schemeClr>
                </a:solidFill>
              </a:ln>
            </c:spPr>
          </c:marker>
          <c:xVal>
            <c:numRef>
              <c:f>Figures!$B$46:$B$59</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Figures!$I$46:$I$59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3-87EA-2E4A-9899-82795CC4B28E}"/>
            </c:ext>
          </c:extLst>
        </c:ser>
        <c:dLbls>
          <c:showLegendKey val="0"/>
          <c:showVal val="0"/>
          <c:showCatName val="0"/>
          <c:showSerName val="0"/>
          <c:showPercent val="0"/>
          <c:showBubbleSize val="0"/>
        </c:dLbls>
        <c:axId val="-2135122296"/>
        <c:axId val="-2132848024"/>
      </c:scatterChart>
      <c:valAx>
        <c:axId val="-2135122296"/>
        <c:scaling>
          <c:orientation val="minMax"/>
          <c:max val="1000"/>
          <c:min val="250"/>
        </c:scaling>
        <c:delete val="0"/>
        <c:axPos val="b"/>
        <c:title>
          <c:tx>
            <c:rich>
              <a:bodyPr/>
              <a:lstStyle/>
              <a:p>
                <a:pPr>
                  <a:defRPr/>
                </a:pPr>
                <a:r>
                  <a:rPr lang="en-US"/>
                  <a:t>Temperature, K</a:t>
                </a:r>
              </a:p>
            </c:rich>
          </c:tx>
          <c:overlay val="0"/>
        </c:title>
        <c:numFmt formatCode="General" sourceLinked="1"/>
        <c:majorTickMark val="out"/>
        <c:minorTickMark val="none"/>
        <c:tickLblPos val="nextTo"/>
        <c:crossAx val="-2132848024"/>
        <c:crosses val="autoZero"/>
        <c:crossBetween val="midCat"/>
      </c:valAx>
      <c:valAx>
        <c:axId val="-2132848024"/>
        <c:scaling>
          <c:orientation val="minMax"/>
          <c:min val="5"/>
        </c:scaling>
        <c:delete val="0"/>
        <c:axPos val="l"/>
        <c:majorGridlines>
          <c:spPr>
            <a:ln>
              <a:noFill/>
            </a:ln>
          </c:spPr>
        </c:majorGridlines>
        <c:title>
          <c:tx>
            <c:rich>
              <a:bodyPr/>
              <a:lstStyle/>
              <a:p>
                <a:pPr>
                  <a:defRPr/>
                </a:pPr>
                <a:r>
                  <a:rPr lang="en-US"/>
                  <a:t>Vp, km</a:t>
                </a:r>
                <a:r>
                  <a:rPr lang="en-US" baseline="0"/>
                  <a:t> s</a:t>
                </a:r>
                <a:r>
                  <a:rPr lang="en-US" baseline="30000"/>
                  <a:t>-1</a:t>
                </a:r>
              </a:p>
            </c:rich>
          </c:tx>
          <c:overlay val="0"/>
        </c:title>
        <c:numFmt formatCode="0.00" sourceLinked="1"/>
        <c:majorTickMark val="out"/>
        <c:minorTickMark val="none"/>
        <c:tickLblPos val="nextTo"/>
        <c:crossAx val="-2135122296"/>
        <c:crosses val="autoZero"/>
        <c:crossBetween val="midCat"/>
      </c:valAx>
    </c:plotArea>
    <c:legend>
      <c:legendPos val="r"/>
      <c:overlay val="0"/>
    </c:legend>
    <c:plotVisOnly val="1"/>
    <c:dispBlanksAs val="gap"/>
    <c:showDLblsOverMax val="0"/>
  </c:chart>
  <c:printSettings>
    <c:headerFooter/>
    <c:pageMargins b="1" l="0.75" r="0.75" t="1" header="0.5" footer="0.5"/>
    <c:pageSetup orientation="portrait" horizontalDpi="-4" verticalDpi="-4"/>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S-wave Velocity</a:t>
            </a:r>
          </a:p>
        </c:rich>
      </c:tx>
      <c:overlay val="0"/>
    </c:title>
    <c:autoTitleDeleted val="0"/>
    <c:plotArea>
      <c:layout/>
      <c:scatterChart>
        <c:scatterStyle val="smoothMarker"/>
        <c:varyColors val="0"/>
        <c:ser>
          <c:idx val="0"/>
          <c:order val="0"/>
          <c:tx>
            <c:strRef>
              <c:f>Figures!$A$4</c:f>
              <c:strCache>
                <c:ptCount val="1"/>
                <c:pt idx="0">
                  <c:v>0.1</c:v>
                </c:pt>
              </c:strCache>
            </c:strRef>
          </c:tx>
          <c:spPr>
            <a:ln w="12700"/>
          </c:spPr>
          <c:marker>
            <c:symbol val="circle"/>
            <c:size val="3"/>
          </c:marker>
          <c:xVal>
            <c:numRef>
              <c:f>Figures!$B$4:$B$17</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Figures!$J$4:$J$17</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0-85E6-4745-89C8-FE2A63EEA6DC}"/>
            </c:ext>
          </c:extLst>
        </c:ser>
        <c:ser>
          <c:idx val="1"/>
          <c:order val="1"/>
          <c:tx>
            <c:strRef>
              <c:f>Figures!$A$18</c:f>
              <c:strCache>
                <c:ptCount val="1"/>
                <c:pt idx="0">
                  <c:v>570.1</c:v>
                </c:pt>
              </c:strCache>
            </c:strRef>
          </c:tx>
          <c:spPr>
            <a:ln w="12700">
              <a:solidFill>
                <a:schemeClr val="accent4">
                  <a:lumMod val="75000"/>
                </a:schemeClr>
              </a:solidFill>
            </a:ln>
          </c:spPr>
          <c:marker>
            <c:symbol val="circle"/>
            <c:size val="3"/>
            <c:spPr>
              <a:solidFill>
                <a:schemeClr val="accent4">
                  <a:lumMod val="75000"/>
                </a:schemeClr>
              </a:solidFill>
              <a:ln>
                <a:solidFill>
                  <a:schemeClr val="accent4">
                    <a:lumMod val="75000"/>
                  </a:schemeClr>
                </a:solidFill>
              </a:ln>
            </c:spPr>
          </c:marker>
          <c:xVal>
            <c:numRef>
              <c:f>Figures!$B$18:$B$31</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Figures!$J$18:$J$31</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1-85E6-4745-89C8-FE2A63EEA6DC}"/>
            </c:ext>
          </c:extLst>
        </c:ser>
        <c:ser>
          <c:idx val="2"/>
          <c:order val="2"/>
          <c:tx>
            <c:strRef>
              <c:f>Figures!$A$32</c:f>
              <c:strCache>
                <c:ptCount val="1"/>
                <c:pt idx="0">
                  <c:v>1140.1</c:v>
                </c:pt>
              </c:strCache>
            </c:strRef>
          </c:tx>
          <c:spPr>
            <a:ln w="12700">
              <a:solidFill>
                <a:schemeClr val="accent6">
                  <a:lumMod val="75000"/>
                </a:schemeClr>
              </a:solidFill>
            </a:ln>
          </c:spPr>
          <c:marker>
            <c:symbol val="circle"/>
            <c:size val="3"/>
            <c:spPr>
              <a:solidFill>
                <a:schemeClr val="accent6">
                  <a:lumMod val="75000"/>
                </a:schemeClr>
              </a:solidFill>
              <a:ln>
                <a:solidFill>
                  <a:schemeClr val="accent6">
                    <a:lumMod val="75000"/>
                  </a:schemeClr>
                </a:solidFill>
              </a:ln>
            </c:spPr>
          </c:marker>
          <c:xVal>
            <c:numRef>
              <c:f>Figures!$B$32:$B$45</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Figures!$J$32:$J$45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2-85E6-4745-89C8-FE2A63EEA6DC}"/>
            </c:ext>
          </c:extLst>
        </c:ser>
        <c:ser>
          <c:idx val="3"/>
          <c:order val="3"/>
          <c:tx>
            <c:strRef>
              <c:f>Figures!$A$46</c:f>
              <c:strCache>
                <c:ptCount val="1"/>
                <c:pt idx="0">
                  <c:v>1711.1</c:v>
                </c:pt>
              </c:strCache>
            </c:strRef>
          </c:tx>
          <c:spPr>
            <a:ln w="12700">
              <a:solidFill>
                <a:schemeClr val="accent2">
                  <a:lumMod val="75000"/>
                </a:schemeClr>
              </a:solidFill>
            </a:ln>
          </c:spPr>
          <c:marker>
            <c:symbol val="circle"/>
            <c:size val="3"/>
            <c:spPr>
              <a:solidFill>
                <a:schemeClr val="accent2">
                  <a:lumMod val="75000"/>
                </a:schemeClr>
              </a:solidFill>
              <a:ln>
                <a:solidFill>
                  <a:schemeClr val="accent2">
                    <a:lumMod val="75000"/>
                  </a:schemeClr>
                </a:solidFill>
              </a:ln>
            </c:spPr>
          </c:marker>
          <c:xVal>
            <c:numRef>
              <c:f>Figures!$B$46:$B$59</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Figures!$J$46:$J$59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3-85E6-4745-89C8-FE2A63EEA6DC}"/>
            </c:ext>
          </c:extLst>
        </c:ser>
        <c:dLbls>
          <c:showLegendKey val="0"/>
          <c:showVal val="0"/>
          <c:showCatName val="0"/>
          <c:showSerName val="0"/>
          <c:showPercent val="0"/>
          <c:showBubbleSize val="0"/>
        </c:dLbls>
        <c:axId val="-2134967672"/>
        <c:axId val="-2135663752"/>
      </c:scatterChart>
      <c:valAx>
        <c:axId val="-2134967672"/>
        <c:scaling>
          <c:orientation val="minMax"/>
          <c:max val="1000"/>
          <c:min val="250"/>
        </c:scaling>
        <c:delete val="0"/>
        <c:axPos val="b"/>
        <c:title>
          <c:tx>
            <c:rich>
              <a:bodyPr/>
              <a:lstStyle/>
              <a:p>
                <a:pPr>
                  <a:defRPr/>
                </a:pPr>
                <a:r>
                  <a:rPr lang="en-US"/>
                  <a:t>Temperature, K</a:t>
                </a:r>
              </a:p>
            </c:rich>
          </c:tx>
          <c:overlay val="0"/>
        </c:title>
        <c:numFmt formatCode="General" sourceLinked="1"/>
        <c:majorTickMark val="out"/>
        <c:minorTickMark val="none"/>
        <c:tickLblPos val="nextTo"/>
        <c:crossAx val="-2135663752"/>
        <c:crosses val="autoZero"/>
        <c:crossBetween val="midCat"/>
      </c:valAx>
      <c:valAx>
        <c:axId val="-2135663752"/>
        <c:scaling>
          <c:orientation val="minMax"/>
          <c:min val="2"/>
        </c:scaling>
        <c:delete val="0"/>
        <c:axPos val="l"/>
        <c:majorGridlines>
          <c:spPr>
            <a:ln>
              <a:noFill/>
            </a:ln>
          </c:spPr>
        </c:majorGridlines>
        <c:title>
          <c:tx>
            <c:rich>
              <a:bodyPr/>
              <a:lstStyle/>
              <a:p>
                <a:pPr>
                  <a:defRPr/>
                </a:pPr>
                <a:r>
                  <a:rPr lang="en-US"/>
                  <a:t>Vs, km s</a:t>
                </a:r>
                <a:r>
                  <a:rPr lang="en-US" baseline="30000"/>
                  <a:t>-1</a:t>
                </a:r>
              </a:p>
            </c:rich>
          </c:tx>
          <c:overlay val="0"/>
        </c:title>
        <c:numFmt formatCode="0.00" sourceLinked="1"/>
        <c:majorTickMark val="out"/>
        <c:minorTickMark val="none"/>
        <c:tickLblPos val="nextTo"/>
        <c:crossAx val="-2134967672"/>
        <c:crosses val="autoZero"/>
        <c:crossBetween val="midCat"/>
      </c:valAx>
    </c:plotArea>
    <c:legend>
      <c:legendPos val="r"/>
      <c:overlay val="0"/>
    </c:legend>
    <c:plotVisOnly val="1"/>
    <c:dispBlanksAs val="gap"/>
    <c:showDLblsOverMax val="0"/>
  </c:chart>
  <c:printSettings>
    <c:headerFooter/>
    <c:pageMargins b="1" l="0.75" r="0.75" t="1" header="0.5" footer="0.5"/>
    <c:pageSetup orientation="portrait" horizontalDpi="-4" verticalDpi="-4"/>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Vp/Vs</a:t>
            </a:r>
          </a:p>
        </c:rich>
      </c:tx>
      <c:overlay val="0"/>
    </c:title>
    <c:autoTitleDeleted val="0"/>
    <c:plotArea>
      <c:layout/>
      <c:scatterChart>
        <c:scatterStyle val="smoothMarker"/>
        <c:varyColors val="0"/>
        <c:ser>
          <c:idx val="0"/>
          <c:order val="0"/>
          <c:tx>
            <c:strRef>
              <c:f>Figures!$A$4</c:f>
              <c:strCache>
                <c:ptCount val="1"/>
                <c:pt idx="0">
                  <c:v>0.1</c:v>
                </c:pt>
              </c:strCache>
            </c:strRef>
          </c:tx>
          <c:spPr>
            <a:ln w="12700"/>
          </c:spPr>
          <c:marker>
            <c:symbol val="circle"/>
            <c:size val="3"/>
          </c:marker>
          <c:xVal>
            <c:numRef>
              <c:f>Figures!$B$4:$B$17</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Figures!$K$4:$K$17</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0-9077-9C42-A64C-5C002A0FC5FE}"/>
            </c:ext>
          </c:extLst>
        </c:ser>
        <c:ser>
          <c:idx val="1"/>
          <c:order val="1"/>
          <c:tx>
            <c:strRef>
              <c:f>Figures!$A$18</c:f>
              <c:strCache>
                <c:ptCount val="1"/>
                <c:pt idx="0">
                  <c:v>570.1</c:v>
                </c:pt>
              </c:strCache>
            </c:strRef>
          </c:tx>
          <c:spPr>
            <a:ln w="12700">
              <a:solidFill>
                <a:schemeClr val="accent4">
                  <a:lumMod val="75000"/>
                </a:schemeClr>
              </a:solidFill>
            </a:ln>
          </c:spPr>
          <c:marker>
            <c:symbol val="circle"/>
            <c:size val="3"/>
            <c:spPr>
              <a:solidFill>
                <a:schemeClr val="accent4">
                  <a:lumMod val="75000"/>
                </a:schemeClr>
              </a:solidFill>
              <a:ln>
                <a:solidFill>
                  <a:schemeClr val="accent4">
                    <a:lumMod val="75000"/>
                  </a:schemeClr>
                </a:solidFill>
              </a:ln>
            </c:spPr>
          </c:marker>
          <c:xVal>
            <c:numRef>
              <c:f>Figures!$B$18:$B$31</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Figures!$K$18:$K$31</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1-9077-9C42-A64C-5C002A0FC5FE}"/>
            </c:ext>
          </c:extLst>
        </c:ser>
        <c:ser>
          <c:idx val="2"/>
          <c:order val="2"/>
          <c:tx>
            <c:strRef>
              <c:f>Figures!$A$32</c:f>
              <c:strCache>
                <c:ptCount val="1"/>
                <c:pt idx="0">
                  <c:v>1140.1</c:v>
                </c:pt>
              </c:strCache>
            </c:strRef>
          </c:tx>
          <c:spPr>
            <a:ln w="12700">
              <a:solidFill>
                <a:schemeClr val="accent6">
                  <a:lumMod val="75000"/>
                </a:schemeClr>
              </a:solidFill>
            </a:ln>
          </c:spPr>
          <c:marker>
            <c:symbol val="circle"/>
            <c:size val="3"/>
            <c:spPr>
              <a:solidFill>
                <a:schemeClr val="accent6">
                  <a:lumMod val="75000"/>
                </a:schemeClr>
              </a:solidFill>
              <a:ln>
                <a:solidFill>
                  <a:schemeClr val="accent6">
                    <a:lumMod val="75000"/>
                  </a:schemeClr>
                </a:solidFill>
              </a:ln>
            </c:spPr>
          </c:marker>
          <c:xVal>
            <c:numRef>
              <c:f>Figures!$B$32:$B$45</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Figures!$K$32:$K$45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2-9077-9C42-A64C-5C002A0FC5FE}"/>
            </c:ext>
          </c:extLst>
        </c:ser>
        <c:ser>
          <c:idx val="3"/>
          <c:order val="3"/>
          <c:tx>
            <c:strRef>
              <c:f>Figures!$A$46</c:f>
              <c:strCache>
                <c:ptCount val="1"/>
                <c:pt idx="0">
                  <c:v>1711.1</c:v>
                </c:pt>
              </c:strCache>
            </c:strRef>
          </c:tx>
          <c:spPr>
            <a:ln w="12700">
              <a:solidFill>
                <a:schemeClr val="accent2">
                  <a:lumMod val="75000"/>
                </a:schemeClr>
              </a:solidFill>
            </a:ln>
          </c:spPr>
          <c:marker>
            <c:symbol val="circle"/>
            <c:size val="3"/>
            <c:spPr>
              <a:solidFill>
                <a:schemeClr val="accent2">
                  <a:lumMod val="75000"/>
                </a:schemeClr>
              </a:solidFill>
              <a:ln>
                <a:solidFill>
                  <a:schemeClr val="accent2">
                    <a:lumMod val="75000"/>
                  </a:schemeClr>
                </a:solidFill>
              </a:ln>
            </c:spPr>
          </c:marker>
          <c:xVal>
            <c:numRef>
              <c:f>Figures!$B$46:$B$59</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Figures!$K$46:$K$59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3-9077-9C42-A64C-5C002A0FC5FE}"/>
            </c:ext>
          </c:extLst>
        </c:ser>
        <c:dLbls>
          <c:showLegendKey val="0"/>
          <c:showVal val="0"/>
          <c:showCatName val="0"/>
          <c:showSerName val="0"/>
          <c:showPercent val="0"/>
          <c:showBubbleSize val="0"/>
        </c:dLbls>
        <c:axId val="-2132966664"/>
        <c:axId val="-2119201208"/>
      </c:scatterChart>
      <c:valAx>
        <c:axId val="-2132966664"/>
        <c:scaling>
          <c:orientation val="minMax"/>
          <c:max val="1000"/>
          <c:min val="250"/>
        </c:scaling>
        <c:delete val="0"/>
        <c:axPos val="b"/>
        <c:title>
          <c:tx>
            <c:rich>
              <a:bodyPr/>
              <a:lstStyle/>
              <a:p>
                <a:pPr>
                  <a:defRPr/>
                </a:pPr>
                <a:r>
                  <a:rPr lang="en-US"/>
                  <a:t>Temperature, K</a:t>
                </a:r>
              </a:p>
            </c:rich>
          </c:tx>
          <c:overlay val="0"/>
        </c:title>
        <c:numFmt formatCode="General" sourceLinked="1"/>
        <c:majorTickMark val="out"/>
        <c:minorTickMark val="none"/>
        <c:tickLblPos val="nextTo"/>
        <c:crossAx val="-2119201208"/>
        <c:crosses val="autoZero"/>
        <c:crossBetween val="midCat"/>
      </c:valAx>
      <c:valAx>
        <c:axId val="-2119201208"/>
        <c:scaling>
          <c:orientation val="minMax"/>
        </c:scaling>
        <c:delete val="0"/>
        <c:axPos val="l"/>
        <c:majorGridlines>
          <c:spPr>
            <a:ln>
              <a:noFill/>
            </a:ln>
          </c:spPr>
        </c:majorGridlines>
        <c:title>
          <c:tx>
            <c:rich>
              <a:bodyPr/>
              <a:lstStyle/>
              <a:p>
                <a:pPr>
                  <a:defRPr/>
                </a:pPr>
                <a:r>
                  <a:rPr lang="en-US"/>
                  <a:t>Vp/Vs</a:t>
                </a:r>
                <a:r>
                  <a:rPr lang="en-US" baseline="0"/>
                  <a:t> ratio</a:t>
                </a:r>
                <a:endParaRPr lang="en-US"/>
              </a:p>
            </c:rich>
          </c:tx>
          <c:overlay val="0"/>
        </c:title>
        <c:numFmt formatCode="0.00" sourceLinked="1"/>
        <c:majorTickMark val="out"/>
        <c:minorTickMark val="none"/>
        <c:tickLblPos val="nextTo"/>
        <c:crossAx val="-2132966664"/>
        <c:crosses val="autoZero"/>
        <c:crossBetween val="midCat"/>
      </c:valAx>
    </c:plotArea>
    <c:legend>
      <c:legendPos val="r"/>
      <c:overlay val="0"/>
    </c:legend>
    <c:plotVisOnly val="1"/>
    <c:dispBlanksAs val="gap"/>
    <c:showDLblsOverMax val="0"/>
  </c:chart>
  <c:printSettings>
    <c:headerFooter/>
    <c:pageMargins b="1" l="0.75" r="0.75" t="1" header="0.5" footer="0.5"/>
    <c:pageSetup orientation="portrait" horizontalDpi="-4" verticalDpi="-4"/>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Poisson's Ratio</a:t>
            </a:r>
          </a:p>
        </c:rich>
      </c:tx>
      <c:overlay val="0"/>
    </c:title>
    <c:autoTitleDeleted val="0"/>
    <c:plotArea>
      <c:layout/>
      <c:scatterChart>
        <c:scatterStyle val="smoothMarker"/>
        <c:varyColors val="0"/>
        <c:ser>
          <c:idx val="0"/>
          <c:order val="0"/>
          <c:tx>
            <c:strRef>
              <c:f>Figures!$A$4</c:f>
              <c:strCache>
                <c:ptCount val="1"/>
                <c:pt idx="0">
                  <c:v>0.1</c:v>
                </c:pt>
              </c:strCache>
            </c:strRef>
          </c:tx>
          <c:spPr>
            <a:ln w="12700"/>
          </c:spPr>
          <c:marker>
            <c:symbol val="circle"/>
            <c:size val="3"/>
          </c:marker>
          <c:xVal>
            <c:numRef>
              <c:f>Figures!$B$4:$B$17</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Figures!$L$4:$L$17</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0-0333-5048-9E12-DE4089A272A7}"/>
            </c:ext>
          </c:extLst>
        </c:ser>
        <c:ser>
          <c:idx val="1"/>
          <c:order val="1"/>
          <c:tx>
            <c:strRef>
              <c:f>Figures!$A$18</c:f>
              <c:strCache>
                <c:ptCount val="1"/>
                <c:pt idx="0">
                  <c:v>570.1</c:v>
                </c:pt>
              </c:strCache>
            </c:strRef>
          </c:tx>
          <c:spPr>
            <a:ln w="12700">
              <a:solidFill>
                <a:schemeClr val="accent4">
                  <a:lumMod val="75000"/>
                </a:schemeClr>
              </a:solidFill>
            </a:ln>
          </c:spPr>
          <c:marker>
            <c:symbol val="circle"/>
            <c:size val="3"/>
            <c:spPr>
              <a:solidFill>
                <a:schemeClr val="accent4">
                  <a:lumMod val="75000"/>
                </a:schemeClr>
              </a:solidFill>
              <a:ln>
                <a:solidFill>
                  <a:schemeClr val="accent4">
                    <a:lumMod val="75000"/>
                  </a:schemeClr>
                </a:solidFill>
              </a:ln>
            </c:spPr>
          </c:marker>
          <c:xVal>
            <c:numRef>
              <c:f>Figures!$B$18:$B$31</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Figures!$L$18:$L$31</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1-0333-5048-9E12-DE4089A272A7}"/>
            </c:ext>
          </c:extLst>
        </c:ser>
        <c:ser>
          <c:idx val="2"/>
          <c:order val="2"/>
          <c:tx>
            <c:strRef>
              <c:f>Figures!$A$32</c:f>
              <c:strCache>
                <c:ptCount val="1"/>
                <c:pt idx="0">
                  <c:v>1140.1</c:v>
                </c:pt>
              </c:strCache>
            </c:strRef>
          </c:tx>
          <c:spPr>
            <a:ln w="12700">
              <a:solidFill>
                <a:schemeClr val="accent6">
                  <a:lumMod val="75000"/>
                </a:schemeClr>
              </a:solidFill>
            </a:ln>
          </c:spPr>
          <c:marker>
            <c:symbol val="circle"/>
            <c:size val="3"/>
            <c:spPr>
              <a:solidFill>
                <a:schemeClr val="accent6">
                  <a:lumMod val="75000"/>
                </a:schemeClr>
              </a:solidFill>
              <a:ln>
                <a:solidFill>
                  <a:schemeClr val="accent6">
                    <a:lumMod val="75000"/>
                  </a:schemeClr>
                </a:solidFill>
              </a:ln>
            </c:spPr>
          </c:marker>
          <c:xVal>
            <c:numRef>
              <c:f>Figures!$B$32:$B$45</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Figures!$L$32:$L$45</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2-0333-5048-9E12-DE4089A272A7}"/>
            </c:ext>
          </c:extLst>
        </c:ser>
        <c:ser>
          <c:idx val="3"/>
          <c:order val="3"/>
          <c:tx>
            <c:strRef>
              <c:f>Figures!$A$46</c:f>
              <c:strCache>
                <c:ptCount val="1"/>
                <c:pt idx="0">
                  <c:v>1711.1</c:v>
                </c:pt>
              </c:strCache>
            </c:strRef>
          </c:tx>
          <c:spPr>
            <a:ln w="12700">
              <a:solidFill>
                <a:schemeClr val="accent2">
                  <a:lumMod val="75000"/>
                </a:schemeClr>
              </a:solidFill>
            </a:ln>
          </c:spPr>
          <c:marker>
            <c:symbol val="circle"/>
            <c:size val="3"/>
            <c:spPr>
              <a:solidFill>
                <a:schemeClr val="accent2">
                  <a:lumMod val="75000"/>
                </a:schemeClr>
              </a:solidFill>
              <a:ln>
                <a:solidFill>
                  <a:schemeClr val="accent2">
                    <a:lumMod val="75000"/>
                  </a:schemeClr>
                </a:solidFill>
              </a:ln>
            </c:spPr>
          </c:marker>
          <c:xVal>
            <c:numRef>
              <c:f>Figures!$B$46:$B$59</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Figures!$L$46:$L$59</c:f>
              <c:numCache>
                <c:formatCode>0.00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3-0333-5048-9E12-DE4089A272A7}"/>
            </c:ext>
          </c:extLst>
        </c:ser>
        <c:dLbls>
          <c:showLegendKey val="0"/>
          <c:showVal val="0"/>
          <c:showCatName val="0"/>
          <c:showSerName val="0"/>
          <c:showPercent val="0"/>
          <c:showBubbleSize val="0"/>
        </c:dLbls>
        <c:axId val="-2087491752"/>
        <c:axId val="2053869000"/>
      </c:scatterChart>
      <c:valAx>
        <c:axId val="-2087491752"/>
        <c:scaling>
          <c:orientation val="minMax"/>
          <c:max val="1000"/>
          <c:min val="250"/>
        </c:scaling>
        <c:delete val="0"/>
        <c:axPos val="b"/>
        <c:title>
          <c:tx>
            <c:rich>
              <a:bodyPr/>
              <a:lstStyle/>
              <a:p>
                <a:pPr>
                  <a:defRPr/>
                </a:pPr>
                <a:r>
                  <a:rPr lang="en-US"/>
                  <a:t>Temperature, K</a:t>
                </a:r>
              </a:p>
            </c:rich>
          </c:tx>
          <c:overlay val="0"/>
        </c:title>
        <c:numFmt formatCode="General" sourceLinked="1"/>
        <c:majorTickMark val="out"/>
        <c:minorTickMark val="none"/>
        <c:tickLblPos val="nextTo"/>
        <c:crossAx val="2053869000"/>
        <c:crosses val="autoZero"/>
        <c:crossBetween val="midCat"/>
      </c:valAx>
      <c:valAx>
        <c:axId val="2053869000"/>
        <c:scaling>
          <c:orientation val="minMax"/>
          <c:max val="0.38"/>
          <c:min val="0.22"/>
        </c:scaling>
        <c:delete val="0"/>
        <c:axPos val="l"/>
        <c:majorGridlines>
          <c:spPr>
            <a:ln>
              <a:noFill/>
            </a:ln>
          </c:spPr>
        </c:majorGridlines>
        <c:title>
          <c:tx>
            <c:rich>
              <a:bodyPr/>
              <a:lstStyle/>
              <a:p>
                <a:pPr>
                  <a:defRPr/>
                </a:pPr>
                <a:r>
                  <a:rPr lang="en-US"/>
                  <a:t>Poisson's</a:t>
                </a:r>
                <a:r>
                  <a:rPr lang="en-US" baseline="0"/>
                  <a:t> Ratio</a:t>
                </a:r>
                <a:endParaRPr lang="en-US"/>
              </a:p>
            </c:rich>
          </c:tx>
          <c:overlay val="0"/>
        </c:title>
        <c:numFmt formatCode="0.00" sourceLinked="1"/>
        <c:majorTickMark val="out"/>
        <c:minorTickMark val="none"/>
        <c:tickLblPos val="nextTo"/>
        <c:crossAx val="-2087491752"/>
        <c:crosses val="autoZero"/>
        <c:crossBetween val="midCat"/>
      </c:valAx>
    </c:plotArea>
    <c:legend>
      <c:legendPos val="r"/>
      <c:overlay val="0"/>
    </c:legend>
    <c:plotVisOnly val="1"/>
    <c:dispBlanksAs val="gap"/>
    <c:showDLblsOverMax val="0"/>
  </c:chart>
  <c:printSettings>
    <c:headerFooter/>
    <c:pageMargins b="1" l="0.75" r="0.75" t="1" header="0.5" footer="0.5"/>
    <c:pageSetup orientation="portrait" horizontalDpi="-4" verticalDpi="-4"/>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Specific Heat Capacity</a:t>
            </a:r>
          </a:p>
        </c:rich>
      </c:tx>
      <c:overlay val="0"/>
    </c:title>
    <c:autoTitleDeleted val="0"/>
    <c:plotArea>
      <c:layout/>
      <c:scatterChart>
        <c:scatterStyle val="smoothMarker"/>
        <c:varyColors val="0"/>
        <c:ser>
          <c:idx val="0"/>
          <c:order val="0"/>
          <c:tx>
            <c:strRef>
              <c:f>Figures!$A$4</c:f>
              <c:strCache>
                <c:ptCount val="1"/>
                <c:pt idx="0">
                  <c:v>0.1</c:v>
                </c:pt>
              </c:strCache>
            </c:strRef>
          </c:tx>
          <c:spPr>
            <a:ln w="12700"/>
          </c:spPr>
          <c:marker>
            <c:symbol val="circle"/>
            <c:size val="3"/>
          </c:marker>
          <c:xVal>
            <c:numRef>
              <c:f>Figures!$B$4:$B$17</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Figures!$H$4:$H$17</c:f>
              <c:numCache>
                <c:formatCode>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0-CEFF-E340-BEDC-D7838E326AD9}"/>
            </c:ext>
          </c:extLst>
        </c:ser>
        <c:ser>
          <c:idx val="1"/>
          <c:order val="1"/>
          <c:tx>
            <c:strRef>
              <c:f>Figures!$A$18</c:f>
              <c:strCache>
                <c:ptCount val="1"/>
                <c:pt idx="0">
                  <c:v>570.1</c:v>
                </c:pt>
              </c:strCache>
            </c:strRef>
          </c:tx>
          <c:spPr>
            <a:ln w="12700">
              <a:solidFill>
                <a:schemeClr val="accent4">
                  <a:lumMod val="75000"/>
                </a:schemeClr>
              </a:solidFill>
            </a:ln>
          </c:spPr>
          <c:marker>
            <c:symbol val="circle"/>
            <c:size val="3"/>
            <c:spPr>
              <a:solidFill>
                <a:schemeClr val="accent4">
                  <a:lumMod val="75000"/>
                </a:schemeClr>
              </a:solidFill>
              <a:ln>
                <a:solidFill>
                  <a:schemeClr val="accent4">
                    <a:lumMod val="75000"/>
                  </a:schemeClr>
                </a:solidFill>
              </a:ln>
            </c:spPr>
          </c:marker>
          <c:xVal>
            <c:numRef>
              <c:f>Figures!$B$18:$B$31</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Figures!$H$18:$H$31</c:f>
              <c:numCache>
                <c:formatCode>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1-CEFF-E340-BEDC-D7838E326AD9}"/>
            </c:ext>
          </c:extLst>
        </c:ser>
        <c:ser>
          <c:idx val="2"/>
          <c:order val="2"/>
          <c:tx>
            <c:strRef>
              <c:f>Figures!$A$32</c:f>
              <c:strCache>
                <c:ptCount val="1"/>
                <c:pt idx="0">
                  <c:v>1140.1</c:v>
                </c:pt>
              </c:strCache>
            </c:strRef>
          </c:tx>
          <c:spPr>
            <a:ln w="12700">
              <a:solidFill>
                <a:schemeClr val="accent6">
                  <a:lumMod val="75000"/>
                </a:schemeClr>
              </a:solidFill>
            </a:ln>
          </c:spPr>
          <c:marker>
            <c:symbol val="circle"/>
            <c:size val="3"/>
            <c:spPr>
              <a:solidFill>
                <a:schemeClr val="accent6">
                  <a:lumMod val="75000"/>
                </a:schemeClr>
              </a:solidFill>
              <a:ln>
                <a:solidFill>
                  <a:schemeClr val="accent6">
                    <a:lumMod val="75000"/>
                  </a:schemeClr>
                </a:solidFill>
              </a:ln>
            </c:spPr>
          </c:marker>
          <c:xVal>
            <c:numRef>
              <c:f>Figures!$B$32:$B$45</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Figures!$H$32:$H$45</c:f>
              <c:numCache>
                <c:formatCode>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2-CEFF-E340-BEDC-D7838E326AD9}"/>
            </c:ext>
          </c:extLst>
        </c:ser>
        <c:ser>
          <c:idx val="3"/>
          <c:order val="3"/>
          <c:tx>
            <c:strRef>
              <c:f>Figures!$A$46</c:f>
              <c:strCache>
                <c:ptCount val="1"/>
                <c:pt idx="0">
                  <c:v>1711.1</c:v>
                </c:pt>
              </c:strCache>
            </c:strRef>
          </c:tx>
          <c:spPr>
            <a:ln w="12700">
              <a:solidFill>
                <a:schemeClr val="accent2">
                  <a:lumMod val="75000"/>
                </a:schemeClr>
              </a:solidFill>
            </a:ln>
          </c:spPr>
          <c:marker>
            <c:symbol val="circle"/>
            <c:size val="3"/>
            <c:spPr>
              <a:solidFill>
                <a:schemeClr val="accent2">
                  <a:lumMod val="75000"/>
                </a:schemeClr>
              </a:solidFill>
              <a:ln>
                <a:solidFill>
                  <a:schemeClr val="accent2">
                    <a:lumMod val="75000"/>
                  </a:schemeClr>
                </a:solidFill>
              </a:ln>
            </c:spPr>
          </c:marker>
          <c:xVal>
            <c:numRef>
              <c:f>Figures!$B$46:$B$59</c:f>
              <c:numCache>
                <c:formatCode>General</c:formatCode>
                <c:ptCount val="14"/>
                <c:pt idx="0">
                  <c:v>298</c:v>
                </c:pt>
                <c:pt idx="1">
                  <c:v>348</c:v>
                </c:pt>
                <c:pt idx="2">
                  <c:v>398</c:v>
                </c:pt>
                <c:pt idx="3">
                  <c:v>448</c:v>
                </c:pt>
                <c:pt idx="4">
                  <c:v>498</c:v>
                </c:pt>
                <c:pt idx="5">
                  <c:v>548</c:v>
                </c:pt>
                <c:pt idx="6">
                  <c:v>598</c:v>
                </c:pt>
                <c:pt idx="7">
                  <c:v>648</c:v>
                </c:pt>
                <c:pt idx="8">
                  <c:v>698</c:v>
                </c:pt>
                <c:pt idx="9">
                  <c:v>748</c:v>
                </c:pt>
                <c:pt idx="10">
                  <c:v>798</c:v>
                </c:pt>
                <c:pt idx="11">
                  <c:v>848</c:v>
                </c:pt>
                <c:pt idx="12">
                  <c:v>898</c:v>
                </c:pt>
                <c:pt idx="13">
                  <c:v>948</c:v>
                </c:pt>
              </c:numCache>
            </c:numRef>
          </c:xVal>
          <c:yVal>
            <c:numRef>
              <c:f>Figures!$H$46:$H$59</c:f>
              <c:numCache>
                <c:formatCode>0.0</c:formatCode>
                <c:ptCount val="14"/>
                <c:pt idx="0">
                  <c:v>0</c:v>
                </c:pt>
                <c:pt idx="1">
                  <c:v>0</c:v>
                </c:pt>
                <c:pt idx="2">
                  <c:v>0</c:v>
                </c:pt>
                <c:pt idx="3">
                  <c:v>0</c:v>
                </c:pt>
                <c:pt idx="4">
                  <c:v>0</c:v>
                </c:pt>
                <c:pt idx="5">
                  <c:v>0</c:v>
                </c:pt>
                <c:pt idx="6">
                  <c:v>0</c:v>
                </c:pt>
                <c:pt idx="7">
                  <c:v>0</c:v>
                </c:pt>
                <c:pt idx="8">
                  <c:v>0</c:v>
                </c:pt>
                <c:pt idx="9">
                  <c:v>0</c:v>
                </c:pt>
                <c:pt idx="10">
                  <c:v>0</c:v>
                </c:pt>
                <c:pt idx="11">
                  <c:v>0</c:v>
                </c:pt>
                <c:pt idx="12">
                  <c:v>0</c:v>
                </c:pt>
                <c:pt idx="13">
                  <c:v>0</c:v>
                </c:pt>
              </c:numCache>
            </c:numRef>
          </c:yVal>
          <c:smooth val="1"/>
          <c:extLst>
            <c:ext xmlns:c16="http://schemas.microsoft.com/office/drawing/2014/chart" uri="{C3380CC4-5D6E-409C-BE32-E72D297353CC}">
              <c16:uniqueId val="{00000003-CEFF-E340-BEDC-D7838E326AD9}"/>
            </c:ext>
          </c:extLst>
        </c:ser>
        <c:dLbls>
          <c:showLegendKey val="0"/>
          <c:showVal val="0"/>
          <c:showCatName val="0"/>
          <c:showSerName val="0"/>
          <c:showPercent val="0"/>
          <c:showBubbleSize val="0"/>
        </c:dLbls>
        <c:axId val="-2122013848"/>
        <c:axId val="-2089769400"/>
      </c:scatterChart>
      <c:valAx>
        <c:axId val="-2122013848"/>
        <c:scaling>
          <c:orientation val="minMax"/>
          <c:max val="1000"/>
          <c:min val="250"/>
        </c:scaling>
        <c:delete val="0"/>
        <c:axPos val="b"/>
        <c:title>
          <c:tx>
            <c:rich>
              <a:bodyPr/>
              <a:lstStyle/>
              <a:p>
                <a:pPr>
                  <a:defRPr/>
                </a:pPr>
                <a:r>
                  <a:rPr lang="en-US"/>
                  <a:t>Temperature, K</a:t>
                </a:r>
              </a:p>
            </c:rich>
          </c:tx>
          <c:overlay val="0"/>
        </c:title>
        <c:numFmt formatCode="General" sourceLinked="1"/>
        <c:majorTickMark val="out"/>
        <c:minorTickMark val="none"/>
        <c:tickLblPos val="nextTo"/>
        <c:crossAx val="-2089769400"/>
        <c:crosses val="autoZero"/>
        <c:crossBetween val="midCat"/>
      </c:valAx>
      <c:valAx>
        <c:axId val="-2089769400"/>
        <c:scaling>
          <c:orientation val="minMax"/>
          <c:min val="800"/>
        </c:scaling>
        <c:delete val="0"/>
        <c:axPos val="l"/>
        <c:majorGridlines>
          <c:spPr>
            <a:ln>
              <a:noFill/>
            </a:ln>
          </c:spPr>
        </c:majorGridlines>
        <c:title>
          <c:tx>
            <c:rich>
              <a:bodyPr/>
              <a:lstStyle/>
              <a:p>
                <a:pPr>
                  <a:defRPr/>
                </a:pPr>
                <a:r>
                  <a:rPr lang="en-US"/>
                  <a:t>Specific Heat Capacity, J kg</a:t>
                </a:r>
                <a:r>
                  <a:rPr lang="en-US" baseline="30000"/>
                  <a:t>-1 </a:t>
                </a:r>
                <a:r>
                  <a:rPr lang="en-US" baseline="0"/>
                  <a:t>K</a:t>
                </a:r>
                <a:r>
                  <a:rPr lang="en-US" baseline="30000"/>
                  <a:t>-1</a:t>
                </a:r>
              </a:p>
            </c:rich>
          </c:tx>
          <c:overlay val="0"/>
        </c:title>
        <c:numFmt formatCode="0.0" sourceLinked="1"/>
        <c:majorTickMark val="out"/>
        <c:minorTickMark val="none"/>
        <c:tickLblPos val="nextTo"/>
        <c:crossAx val="-2122013848"/>
        <c:crosses val="autoZero"/>
        <c:crossBetween val="midCat"/>
      </c:valAx>
    </c:plotArea>
    <c:legend>
      <c:legendPos val="r"/>
      <c:overlay val="0"/>
    </c:legend>
    <c:plotVisOnly val="1"/>
    <c:dispBlanksAs val="gap"/>
    <c:showDLblsOverMax val="0"/>
  </c:chart>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81</xdr:row>
      <xdr:rowOff>0</xdr:rowOff>
    </xdr:from>
    <xdr:to>
      <xdr:col>5</xdr:col>
      <xdr:colOff>819150</xdr:colOff>
      <xdr:row>97</xdr:row>
      <xdr:rowOff>82550</xdr:rowOff>
    </xdr:to>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81</xdr:row>
      <xdr:rowOff>0</xdr:rowOff>
    </xdr:from>
    <xdr:to>
      <xdr:col>12</xdr:col>
      <xdr:colOff>349250</xdr:colOff>
      <xdr:row>97</xdr:row>
      <xdr:rowOff>82550</xdr:rowOff>
    </xdr:to>
    <xdr:graphicFrame macro="">
      <xdr:nvGraphicFramePr>
        <xdr:cNvPr id="8" name="Chart 7">
          <a:extLst>
            <a:ext uri="{FF2B5EF4-FFF2-40B4-BE49-F238E27FC236}">
              <a16:creationId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64</xdr:row>
      <xdr:rowOff>0</xdr:rowOff>
    </xdr:from>
    <xdr:to>
      <xdr:col>5</xdr:col>
      <xdr:colOff>819150</xdr:colOff>
      <xdr:row>80</xdr:row>
      <xdr:rowOff>82550</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64</xdr:row>
      <xdr:rowOff>0</xdr:rowOff>
    </xdr:from>
    <xdr:to>
      <xdr:col>12</xdr:col>
      <xdr:colOff>349250</xdr:colOff>
      <xdr:row>80</xdr:row>
      <xdr:rowOff>82550</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98</xdr:row>
      <xdr:rowOff>0</xdr:rowOff>
    </xdr:from>
    <xdr:to>
      <xdr:col>5</xdr:col>
      <xdr:colOff>819150</xdr:colOff>
      <xdr:row>114</xdr:row>
      <xdr:rowOff>82550</xdr:rowOff>
    </xdr:to>
    <xdr:graphicFrame macro="">
      <xdr:nvGraphicFramePr>
        <xdr:cNvPr id="11" name="Chart 10">
          <a:extLst>
            <a:ext uri="{FF2B5EF4-FFF2-40B4-BE49-F238E27FC236}">
              <a16:creationId xmlns:a16="http://schemas.microsoft.com/office/drawing/2014/main" id="{00000000-0008-0000-01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0</xdr:colOff>
      <xdr:row>98</xdr:row>
      <xdr:rowOff>0</xdr:rowOff>
    </xdr:from>
    <xdr:to>
      <xdr:col>12</xdr:col>
      <xdr:colOff>349250</xdr:colOff>
      <xdr:row>114</xdr:row>
      <xdr:rowOff>82550</xdr:rowOff>
    </xdr:to>
    <xdr:graphicFrame macro="">
      <xdr:nvGraphicFramePr>
        <xdr:cNvPr id="12" name="Chart 11">
          <a:extLst>
            <a:ext uri="{FF2B5EF4-FFF2-40B4-BE49-F238E27FC236}">
              <a16:creationId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115</xdr:row>
      <xdr:rowOff>0</xdr:rowOff>
    </xdr:from>
    <xdr:to>
      <xdr:col>5</xdr:col>
      <xdr:colOff>819150</xdr:colOff>
      <xdr:row>131</xdr:row>
      <xdr:rowOff>82550</xdr:rowOff>
    </xdr:to>
    <xdr:graphicFrame macro="">
      <xdr:nvGraphicFramePr>
        <xdr:cNvPr id="13" name="Chart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0</xdr:colOff>
      <xdr:row>115</xdr:row>
      <xdr:rowOff>0</xdr:rowOff>
    </xdr:from>
    <xdr:to>
      <xdr:col>12</xdr:col>
      <xdr:colOff>349250</xdr:colOff>
      <xdr:row>131</xdr:row>
      <xdr:rowOff>82550</xdr:rowOff>
    </xdr:to>
    <xdr:graphicFrame macro="">
      <xdr:nvGraphicFramePr>
        <xdr:cNvPr id="14" name="Chart 13">
          <a:extLst>
            <a:ext uri="{FF2B5EF4-FFF2-40B4-BE49-F238E27FC236}">
              <a16:creationId xmlns:a16="http://schemas.microsoft.com/office/drawing/2014/main" id="{00000000-0008-0000-01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132</xdr:row>
      <xdr:rowOff>0</xdr:rowOff>
    </xdr:from>
    <xdr:to>
      <xdr:col>5</xdr:col>
      <xdr:colOff>819150</xdr:colOff>
      <xdr:row>148</xdr:row>
      <xdr:rowOff>82550</xdr:rowOff>
    </xdr:to>
    <xdr:graphicFrame macro="">
      <xdr:nvGraphicFramePr>
        <xdr:cNvPr id="15" name="Chart 14">
          <a:extLst>
            <a:ext uri="{FF2B5EF4-FFF2-40B4-BE49-F238E27FC236}">
              <a16:creationId xmlns:a16="http://schemas.microsoft.com/office/drawing/2014/main" id="{00000000-0008-0000-01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968"/>
  <sheetViews>
    <sheetView topLeftCell="A21" zoomScale="75" zoomScaleNormal="75" zoomScalePageLayoutView="75" workbookViewId="0">
      <selection activeCell="B36" sqref="B36"/>
    </sheetView>
  </sheetViews>
  <sheetFormatPr baseColWidth="10" defaultRowHeight="16" x14ac:dyDescent="0.2"/>
  <cols>
    <col min="1" max="1" width="21.83203125" customWidth="1"/>
    <col min="2" max="2" width="17" customWidth="1"/>
    <col min="3" max="3" width="9.33203125" customWidth="1"/>
    <col min="4" max="4" width="9.1640625" customWidth="1"/>
    <col min="5" max="5" width="11.33203125" bestFit="1" customWidth="1"/>
    <col min="6" max="6" width="8" customWidth="1"/>
    <col min="7" max="7" width="10" customWidth="1"/>
    <col min="8" max="8" width="11.1640625" bestFit="1" customWidth="1"/>
    <col min="9" max="9" width="11.33203125" bestFit="1" customWidth="1"/>
    <col min="10" max="10" width="8" customWidth="1"/>
    <col min="11" max="11" width="11.83203125" bestFit="1" customWidth="1"/>
    <col min="12" max="12" width="9.1640625" customWidth="1"/>
    <col min="13" max="13" width="14" bestFit="1" customWidth="1"/>
    <col min="14" max="14" width="10" customWidth="1"/>
    <col min="15" max="16" width="10.33203125" customWidth="1"/>
    <col min="17" max="17" width="8.33203125" customWidth="1"/>
    <col min="18" max="19" width="8" customWidth="1"/>
    <col min="23" max="23" width="14.83203125" bestFit="1" customWidth="1"/>
    <col min="32" max="32" width="14.1640625" bestFit="1" customWidth="1"/>
    <col min="42" max="42" width="13.1640625" customWidth="1"/>
    <col min="43" max="43" width="13.6640625" bestFit="1" customWidth="1"/>
  </cols>
  <sheetData>
    <row r="1" spans="1:20" x14ac:dyDescent="0.2">
      <c r="A1" s="64" t="s">
        <v>158</v>
      </c>
      <c r="B1" s="65"/>
      <c r="C1" s="65"/>
      <c r="D1" s="65"/>
      <c r="E1" s="65"/>
      <c r="F1" s="65"/>
      <c r="G1" s="65"/>
      <c r="H1" s="65"/>
      <c r="I1" s="65"/>
      <c r="J1" s="65"/>
      <c r="K1" s="65"/>
      <c r="L1" s="65"/>
      <c r="M1" s="65"/>
      <c r="N1" s="65"/>
      <c r="O1" s="65"/>
      <c r="P1" s="65"/>
      <c r="Q1" s="65"/>
      <c r="R1" s="65"/>
      <c r="S1" s="65"/>
      <c r="T1" s="65"/>
    </row>
    <row r="2" spans="1:20" ht="17" thickBot="1" x14ac:dyDescent="0.25">
      <c r="A2" s="11"/>
      <c r="B2" s="10" t="s">
        <v>94</v>
      </c>
      <c r="C2" s="17" t="s">
        <v>0</v>
      </c>
      <c r="D2" s="17" t="s">
        <v>1</v>
      </c>
      <c r="E2" s="17" t="s">
        <v>2</v>
      </c>
      <c r="F2" s="17" t="s">
        <v>3</v>
      </c>
      <c r="G2" s="17" t="s">
        <v>4</v>
      </c>
      <c r="H2" s="17" t="s">
        <v>5</v>
      </c>
      <c r="I2" s="17" t="s">
        <v>6</v>
      </c>
      <c r="J2" s="17" t="s">
        <v>7</v>
      </c>
      <c r="K2" s="17" t="s">
        <v>8</v>
      </c>
      <c r="L2" s="17" t="s">
        <v>9</v>
      </c>
      <c r="M2" s="17" t="s">
        <v>10</v>
      </c>
      <c r="N2" s="17" t="s">
        <v>11</v>
      </c>
      <c r="O2" s="17" t="s">
        <v>12</v>
      </c>
      <c r="P2" s="17" t="s">
        <v>13</v>
      </c>
      <c r="Q2" s="17" t="s">
        <v>14</v>
      </c>
      <c r="R2" s="17" t="s">
        <v>15</v>
      </c>
      <c r="S2" s="17" t="s">
        <v>16</v>
      </c>
      <c r="T2" s="17" t="s">
        <v>17</v>
      </c>
    </row>
    <row r="3" spans="1:20" ht="57" x14ac:dyDescent="0.2">
      <c r="A3" s="9" t="s">
        <v>66</v>
      </c>
      <c r="B3" s="18"/>
      <c r="C3" s="14" t="s">
        <v>18</v>
      </c>
      <c r="D3" s="14" t="s">
        <v>18</v>
      </c>
      <c r="E3" s="14" t="s">
        <v>19</v>
      </c>
      <c r="F3" s="14" t="s">
        <v>20</v>
      </c>
      <c r="G3" s="14" t="s">
        <v>21</v>
      </c>
      <c r="H3" s="14" t="s">
        <v>22</v>
      </c>
      <c r="I3" s="14" t="s">
        <v>23</v>
      </c>
      <c r="J3" s="14" t="s">
        <v>24</v>
      </c>
      <c r="K3" s="14" t="s">
        <v>25</v>
      </c>
      <c r="L3" s="14" t="s">
        <v>26</v>
      </c>
      <c r="M3" s="14" t="s">
        <v>27</v>
      </c>
      <c r="N3" s="14" t="s">
        <v>28</v>
      </c>
      <c r="O3" s="14" t="s">
        <v>29</v>
      </c>
      <c r="P3" s="14" t="s">
        <v>30</v>
      </c>
      <c r="Q3" s="14" t="s">
        <v>31</v>
      </c>
      <c r="R3" s="14" t="s">
        <v>32</v>
      </c>
      <c r="S3" s="14" t="s">
        <v>33</v>
      </c>
      <c r="T3" s="14" t="s">
        <v>34</v>
      </c>
    </row>
    <row r="4" spans="1:20" ht="68" x14ac:dyDescent="0.2">
      <c r="A4" s="2" t="s">
        <v>35</v>
      </c>
      <c r="B4" s="19" t="s">
        <v>36</v>
      </c>
      <c r="C4" s="20">
        <v>60.085000000000001</v>
      </c>
      <c r="D4" s="20">
        <v>60.085000000000001</v>
      </c>
      <c r="E4" s="20">
        <v>278.33</v>
      </c>
      <c r="F4" s="20">
        <v>262.23</v>
      </c>
      <c r="G4" s="20">
        <v>278.16899999999998</v>
      </c>
      <c r="H4" s="20">
        <v>398.24799999999999</v>
      </c>
      <c r="I4" s="20">
        <v>417.24</v>
      </c>
      <c r="J4" s="20">
        <v>511.86599999999999</v>
      </c>
      <c r="K4" s="20">
        <v>864.72</v>
      </c>
      <c r="L4" s="20">
        <v>216.56</v>
      </c>
      <c r="M4" s="20">
        <v>248.09</v>
      </c>
      <c r="N4" s="20">
        <v>200.79</v>
      </c>
      <c r="O4" s="20">
        <v>263.86</v>
      </c>
      <c r="P4" s="20">
        <v>140.69999999999999</v>
      </c>
      <c r="Q4" s="20">
        <v>203.77</v>
      </c>
      <c r="R4" s="20">
        <v>142.27000000000001</v>
      </c>
      <c r="S4" s="20">
        <v>403.09</v>
      </c>
      <c r="T4" s="20">
        <v>497.7</v>
      </c>
    </row>
    <row r="5" spans="1:20" ht="53" x14ac:dyDescent="0.2">
      <c r="A5" s="2" t="s">
        <v>37</v>
      </c>
      <c r="B5" s="19" t="s">
        <v>38</v>
      </c>
      <c r="C5" s="61">
        <v>22.7</v>
      </c>
      <c r="D5" s="61">
        <v>23.7</v>
      </c>
      <c r="E5" s="61">
        <v>108.9</v>
      </c>
      <c r="F5" s="61">
        <v>100.1</v>
      </c>
      <c r="G5" s="61">
        <v>100.8</v>
      </c>
      <c r="H5" s="61">
        <v>140.80000000000001</v>
      </c>
      <c r="I5" s="61">
        <v>149.69999999999999</v>
      </c>
      <c r="J5" s="61">
        <v>154.30000000000001</v>
      </c>
      <c r="K5" s="61">
        <v>266.2</v>
      </c>
      <c r="L5" s="61">
        <v>66.2</v>
      </c>
      <c r="M5" s="61">
        <v>68</v>
      </c>
      <c r="N5" s="61">
        <v>62.6</v>
      </c>
      <c r="O5" s="61">
        <v>65.900000000000006</v>
      </c>
      <c r="P5" s="61">
        <v>43.7</v>
      </c>
      <c r="Q5" s="61">
        <v>46.3</v>
      </c>
      <c r="R5" s="61">
        <v>39.799999999999997</v>
      </c>
      <c r="S5" s="61">
        <v>113.1</v>
      </c>
      <c r="T5" s="61">
        <v>115.1</v>
      </c>
    </row>
    <row r="6" spans="1:20" ht="53" x14ac:dyDescent="0.2">
      <c r="A6" s="7" t="s">
        <v>39</v>
      </c>
      <c r="B6" s="62" t="s">
        <v>159</v>
      </c>
      <c r="C6" s="21">
        <v>2648</v>
      </c>
      <c r="D6" s="21">
        <v>2530</v>
      </c>
      <c r="E6" s="21">
        <v>2555</v>
      </c>
      <c r="F6" s="21">
        <v>2620</v>
      </c>
      <c r="G6" s="21">
        <v>2760</v>
      </c>
      <c r="H6" s="21">
        <v>2828</v>
      </c>
      <c r="I6" s="21">
        <v>2788</v>
      </c>
      <c r="J6" s="21">
        <v>3317</v>
      </c>
      <c r="K6" s="21">
        <v>3248</v>
      </c>
      <c r="L6" s="21">
        <v>3272</v>
      </c>
      <c r="M6" s="21">
        <v>3651</v>
      </c>
      <c r="N6" s="21">
        <v>3206</v>
      </c>
      <c r="O6" s="21">
        <v>4003</v>
      </c>
      <c r="P6" s="21">
        <v>3222</v>
      </c>
      <c r="Q6" s="21">
        <v>4400</v>
      </c>
      <c r="R6" s="21">
        <v>3575</v>
      </c>
      <c r="S6" s="21">
        <v>3565</v>
      </c>
      <c r="T6" s="21">
        <v>4324</v>
      </c>
    </row>
    <row r="7" spans="1:20" ht="51" x14ac:dyDescent="0.2">
      <c r="A7" s="8" t="s">
        <v>40</v>
      </c>
      <c r="B7" s="22"/>
      <c r="C7" s="23">
        <v>0</v>
      </c>
      <c r="D7" s="23">
        <v>0</v>
      </c>
      <c r="E7" s="23">
        <v>0</v>
      </c>
      <c r="F7" s="23">
        <v>0</v>
      </c>
      <c r="G7" s="23">
        <v>0</v>
      </c>
      <c r="H7" s="23">
        <v>4.5</v>
      </c>
      <c r="I7" s="23">
        <v>4.5</v>
      </c>
      <c r="J7" s="23">
        <v>3.5</v>
      </c>
      <c r="K7" s="23">
        <v>2.5</v>
      </c>
      <c r="L7" s="23">
        <v>0</v>
      </c>
      <c r="M7" s="23">
        <v>0</v>
      </c>
      <c r="N7" s="23">
        <v>0</v>
      </c>
      <c r="O7" s="23">
        <v>0</v>
      </c>
      <c r="P7" s="23">
        <v>0</v>
      </c>
      <c r="Q7" s="23">
        <v>0</v>
      </c>
      <c r="R7" s="23">
        <v>0</v>
      </c>
      <c r="S7" s="23">
        <v>0</v>
      </c>
      <c r="T7" s="23">
        <v>0</v>
      </c>
    </row>
    <row r="8" spans="1:20" ht="20" x14ac:dyDescent="0.2">
      <c r="A8" s="66" t="s">
        <v>41</v>
      </c>
      <c r="B8" s="4" t="s">
        <v>42</v>
      </c>
      <c r="C8" s="15">
        <v>1.417</v>
      </c>
      <c r="D8" s="15">
        <v>-0.44</v>
      </c>
      <c r="E8" s="15">
        <v>3.4</v>
      </c>
      <c r="F8" s="15">
        <v>1.9801</v>
      </c>
      <c r="G8" s="15">
        <v>1.2491000000000001</v>
      </c>
      <c r="H8" s="15">
        <v>3.5369999999999999</v>
      </c>
      <c r="I8" s="15">
        <v>5.8</v>
      </c>
      <c r="J8" s="15">
        <v>3.7</v>
      </c>
      <c r="K8" s="15">
        <v>2.0750000000000002</v>
      </c>
      <c r="L8" s="15">
        <v>3.33</v>
      </c>
      <c r="M8" s="15">
        <v>2.98</v>
      </c>
      <c r="N8" s="15">
        <v>2.972</v>
      </c>
      <c r="O8" s="15">
        <v>2.875</v>
      </c>
      <c r="P8" s="15">
        <v>2.8540000000000001</v>
      </c>
      <c r="Q8" s="15">
        <v>2.3860000000000001</v>
      </c>
      <c r="R8" s="15">
        <v>1.96</v>
      </c>
      <c r="S8" s="15">
        <v>2.3109999999999999</v>
      </c>
      <c r="T8" s="15">
        <v>1.776</v>
      </c>
    </row>
    <row r="9" spans="1:20" ht="20" x14ac:dyDescent="0.2">
      <c r="A9" s="67"/>
      <c r="B9" s="5" t="s">
        <v>43</v>
      </c>
      <c r="C9" s="16">
        <v>9.6580999999999992</v>
      </c>
      <c r="D9" s="16">
        <v>0</v>
      </c>
      <c r="E9" s="16">
        <v>0</v>
      </c>
      <c r="F9" s="16">
        <v>1.0065</v>
      </c>
      <c r="G9" s="16">
        <v>-1.6199999999999999E-2</v>
      </c>
      <c r="H9" s="16">
        <v>0</v>
      </c>
      <c r="I9" s="16">
        <v>0</v>
      </c>
      <c r="J9" s="16">
        <v>0</v>
      </c>
      <c r="K9" s="16">
        <v>1.0269999999999999</v>
      </c>
      <c r="L9" s="16">
        <v>0</v>
      </c>
      <c r="M9" s="16">
        <v>0</v>
      </c>
      <c r="N9" s="16">
        <v>0.57110000000000005</v>
      </c>
      <c r="O9" s="16">
        <v>0</v>
      </c>
      <c r="P9" s="16">
        <v>1.008</v>
      </c>
      <c r="Q9" s="16">
        <v>1.153</v>
      </c>
      <c r="R9" s="16">
        <v>1.64</v>
      </c>
      <c r="S9" s="16">
        <v>0.59560000000000002</v>
      </c>
      <c r="T9" s="16">
        <v>1.214</v>
      </c>
    </row>
    <row r="10" spans="1:20" ht="19" x14ac:dyDescent="0.2">
      <c r="A10" s="68"/>
      <c r="B10" s="6" t="s">
        <v>44</v>
      </c>
      <c r="C10" s="14">
        <v>-1.6973</v>
      </c>
      <c r="D10" s="14">
        <v>0</v>
      </c>
      <c r="E10" s="14">
        <v>0</v>
      </c>
      <c r="F10" s="14">
        <v>-0.97599999999999998</v>
      </c>
      <c r="G10" s="14">
        <v>1.61E-2</v>
      </c>
      <c r="H10" s="14">
        <v>0</v>
      </c>
      <c r="I10" s="14">
        <v>0</v>
      </c>
      <c r="J10" s="14">
        <v>0</v>
      </c>
      <c r="K10" s="14">
        <v>0</v>
      </c>
      <c r="L10" s="14">
        <v>0</v>
      </c>
      <c r="M10" s="14">
        <v>0</v>
      </c>
      <c r="N10" s="14">
        <v>0</v>
      </c>
      <c r="O10" s="14">
        <v>0</v>
      </c>
      <c r="P10" s="14">
        <v>-0.38419999999999999</v>
      </c>
      <c r="Q10" s="14">
        <v>-5.1799999999999999E-2</v>
      </c>
      <c r="R10" s="14">
        <v>0</v>
      </c>
      <c r="S10" s="14">
        <v>-0.45379999999999998</v>
      </c>
      <c r="T10" s="14">
        <v>-0.5071</v>
      </c>
    </row>
    <row r="11" spans="1:20" ht="19" x14ac:dyDescent="0.2">
      <c r="A11" s="66" t="s">
        <v>45</v>
      </c>
      <c r="B11" s="4" t="s">
        <v>46</v>
      </c>
      <c r="C11" s="15">
        <v>1.7699</v>
      </c>
      <c r="D11" s="15">
        <v>0.9647</v>
      </c>
      <c r="E11" s="15">
        <v>1.4444999999999999</v>
      </c>
      <c r="F11" s="15">
        <v>1.5012000000000001</v>
      </c>
      <c r="G11" s="15">
        <v>1.5792999999999999</v>
      </c>
      <c r="H11" s="15">
        <v>1.6679999999999999</v>
      </c>
      <c r="I11" s="15">
        <v>1.4354</v>
      </c>
      <c r="J11" s="15">
        <v>1.2777000000000001</v>
      </c>
      <c r="K11" s="15">
        <v>1.6558999999999999</v>
      </c>
      <c r="L11" s="15">
        <v>1.4103000000000001</v>
      </c>
      <c r="M11" s="15">
        <v>1.3712</v>
      </c>
      <c r="N11" s="15">
        <v>1.6592</v>
      </c>
      <c r="O11" s="15">
        <v>1.3204</v>
      </c>
      <c r="P11" s="15">
        <v>1.6572</v>
      </c>
      <c r="Q11" s="15">
        <v>1.2365999999999999</v>
      </c>
      <c r="R11" s="15">
        <v>1.7197</v>
      </c>
      <c r="S11" s="15">
        <v>1.4657</v>
      </c>
      <c r="T11" s="15">
        <v>1.2484999999999999</v>
      </c>
    </row>
    <row r="12" spans="1:20" ht="19" x14ac:dyDescent="0.2">
      <c r="A12" s="67"/>
      <c r="B12" s="5" t="s">
        <v>47</v>
      </c>
      <c r="C12" s="16">
        <v>-23.49</v>
      </c>
      <c r="D12" s="16">
        <v>-4.0000000000000002E-4</v>
      </c>
      <c r="E12" s="16">
        <v>-9.5303000000000004</v>
      </c>
      <c r="F12" s="16">
        <v>-9.2116000000000007</v>
      </c>
      <c r="G12" s="16">
        <v>-4.7252000000000001</v>
      </c>
      <c r="H12" s="16">
        <v>-10.994</v>
      </c>
      <c r="I12" s="16">
        <v>-4.0507999999999997</v>
      </c>
      <c r="J12" s="16">
        <v>-5.6609999999999996</v>
      </c>
      <c r="K12" s="16">
        <v>-13.125999999999999</v>
      </c>
      <c r="L12" s="16">
        <v>-7.4108999999999998</v>
      </c>
      <c r="M12" s="16">
        <v>-10.667999999999999</v>
      </c>
      <c r="N12" s="16">
        <v>-11.959</v>
      </c>
      <c r="O12" s="16">
        <v>-10.558999999999999</v>
      </c>
      <c r="P12" s="16">
        <v>-12.804</v>
      </c>
      <c r="Q12" s="16">
        <v>-9.8819999999999997</v>
      </c>
      <c r="R12" s="16">
        <v>-14.086</v>
      </c>
      <c r="S12" s="16">
        <v>-7.0119999999999996</v>
      </c>
      <c r="T12" s="16">
        <v>-6.6050000000000004</v>
      </c>
    </row>
    <row r="13" spans="1:20" ht="19" x14ac:dyDescent="0.2">
      <c r="A13" s="67"/>
      <c r="B13" s="5" t="s">
        <v>48</v>
      </c>
      <c r="C13" s="16">
        <v>45.947000000000003</v>
      </c>
      <c r="D13" s="16">
        <v>30.545999999999999</v>
      </c>
      <c r="E13" s="16">
        <v>-26.395</v>
      </c>
      <c r="F13" s="16">
        <v>-30.099</v>
      </c>
      <c r="G13" s="16">
        <v>0</v>
      </c>
      <c r="H13" s="16">
        <v>-36.79</v>
      </c>
      <c r="I13" s="16">
        <v>-61.28</v>
      </c>
      <c r="J13" s="16">
        <v>-42.813000000000002</v>
      </c>
      <c r="K13" s="16">
        <v>1.5163</v>
      </c>
      <c r="L13" s="16">
        <v>-33.090000000000003</v>
      </c>
      <c r="M13" s="16">
        <v>-32.728999999999999</v>
      </c>
      <c r="N13" s="16">
        <v>-22.616</v>
      </c>
      <c r="O13" s="16">
        <v>-3.444</v>
      </c>
      <c r="P13" s="16">
        <v>0</v>
      </c>
      <c r="Q13" s="16">
        <v>0</v>
      </c>
      <c r="R13" s="16">
        <v>0</v>
      </c>
      <c r="S13" s="16">
        <v>-33.042000000000002</v>
      </c>
      <c r="T13" s="16">
        <v>-30.297999999999998</v>
      </c>
    </row>
    <row r="14" spans="1:20" ht="29" customHeight="1" x14ac:dyDescent="0.2">
      <c r="A14" s="68"/>
      <c r="B14" s="6" t="s">
        <v>49</v>
      </c>
      <c r="C14" s="14">
        <v>-7.2005999999999997</v>
      </c>
      <c r="D14" s="14">
        <v>-1.8E-3</v>
      </c>
      <c r="E14" s="14">
        <v>3.6781000000000001</v>
      </c>
      <c r="F14" s="14">
        <v>4.0829000000000004</v>
      </c>
      <c r="G14" s="14">
        <v>-1.1395</v>
      </c>
      <c r="H14" s="14">
        <v>5.0613999999999999</v>
      </c>
      <c r="I14" s="14">
        <v>8.9949999999999992</v>
      </c>
      <c r="J14" s="14">
        <v>6.9200999999999997</v>
      </c>
      <c r="K14" s="14">
        <v>-2.6059000000000001</v>
      </c>
      <c r="L14" s="14">
        <v>4.2567000000000004</v>
      </c>
      <c r="M14" s="14">
        <v>-4.1999999999999997E-3</v>
      </c>
      <c r="N14" s="14">
        <v>2.7805</v>
      </c>
      <c r="O14" s="14">
        <v>-0.2858</v>
      </c>
      <c r="P14" s="14">
        <v>-1.9041999999999999</v>
      </c>
      <c r="Q14" s="14">
        <v>-0.30520000000000003</v>
      </c>
      <c r="R14" s="14">
        <v>0</v>
      </c>
      <c r="S14" s="14">
        <v>3.1261999999999999</v>
      </c>
      <c r="T14" s="14">
        <v>4.4436999999999998</v>
      </c>
    </row>
    <row r="15" spans="1:20" ht="68" x14ac:dyDescent="0.2">
      <c r="A15" s="2" t="s">
        <v>50</v>
      </c>
      <c r="B15" s="24" t="s">
        <v>51</v>
      </c>
      <c r="C15" s="25">
        <v>37.119999999999997</v>
      </c>
      <c r="D15" s="25">
        <v>57.01</v>
      </c>
      <c r="E15" s="25">
        <v>58.3</v>
      </c>
      <c r="F15" s="26">
        <v>57.76</v>
      </c>
      <c r="G15" s="26">
        <v>81.86</v>
      </c>
      <c r="H15" s="26">
        <v>49</v>
      </c>
      <c r="I15" s="26">
        <v>49.7</v>
      </c>
      <c r="J15" s="26">
        <v>49.7</v>
      </c>
      <c r="K15" s="26">
        <v>93.97</v>
      </c>
      <c r="L15" s="25">
        <v>113</v>
      </c>
      <c r="M15" s="25">
        <v>119.2</v>
      </c>
      <c r="N15" s="25">
        <v>105.8</v>
      </c>
      <c r="O15" s="25">
        <v>100.17</v>
      </c>
      <c r="P15" s="25">
        <v>127.3</v>
      </c>
      <c r="Q15" s="25">
        <v>136.69999999999999</v>
      </c>
      <c r="R15" s="25">
        <v>196.2</v>
      </c>
      <c r="S15" s="25">
        <v>173.81</v>
      </c>
      <c r="T15" s="25">
        <v>174.1</v>
      </c>
    </row>
    <row r="16" spans="1:20" ht="18" x14ac:dyDescent="0.2">
      <c r="A16" s="3" t="s">
        <v>52</v>
      </c>
      <c r="B16" s="3" t="s">
        <v>53</v>
      </c>
      <c r="C16" s="25">
        <v>5.99</v>
      </c>
      <c r="D16" s="25">
        <v>4</v>
      </c>
      <c r="E16" s="25">
        <v>4</v>
      </c>
      <c r="F16" s="26">
        <v>4</v>
      </c>
      <c r="G16" s="26">
        <v>4</v>
      </c>
      <c r="H16" s="26">
        <v>4</v>
      </c>
      <c r="I16" s="26">
        <v>8.59</v>
      </c>
      <c r="J16" s="26">
        <f>I16</f>
        <v>8.59</v>
      </c>
      <c r="K16" s="26">
        <v>4</v>
      </c>
      <c r="L16" s="25">
        <v>4.8</v>
      </c>
      <c r="M16" s="25">
        <v>4</v>
      </c>
      <c r="N16" s="25">
        <v>8.5</v>
      </c>
      <c r="O16" s="25">
        <v>4</v>
      </c>
      <c r="P16" s="25">
        <v>5.37</v>
      </c>
      <c r="Q16" s="25">
        <v>5.16</v>
      </c>
      <c r="R16" s="25">
        <v>4</v>
      </c>
      <c r="S16" s="25">
        <v>5</v>
      </c>
      <c r="T16" s="25">
        <v>6</v>
      </c>
    </row>
    <row r="17" spans="1:42" ht="51" x14ac:dyDescent="0.2">
      <c r="A17" s="2" t="s">
        <v>54</v>
      </c>
      <c r="B17" s="27" t="s">
        <v>55</v>
      </c>
      <c r="C17" s="25">
        <v>44.8</v>
      </c>
      <c r="D17" s="25">
        <v>41.4</v>
      </c>
      <c r="E17" s="25">
        <v>28.1</v>
      </c>
      <c r="F17" s="26">
        <v>29.782499999999992</v>
      </c>
      <c r="G17" s="26">
        <v>36.048440366972471</v>
      </c>
      <c r="H17" s="26">
        <v>29.54</v>
      </c>
      <c r="I17" s="26">
        <v>22.94</v>
      </c>
      <c r="J17" s="26">
        <v>22.94</v>
      </c>
      <c r="K17" s="26">
        <v>54.5</v>
      </c>
      <c r="L17" s="25">
        <v>64.900000000000006</v>
      </c>
      <c r="M17" s="25">
        <v>61</v>
      </c>
      <c r="N17" s="25">
        <v>76.8</v>
      </c>
      <c r="O17" s="25">
        <v>52</v>
      </c>
      <c r="P17" s="25">
        <v>81.599999999999994</v>
      </c>
      <c r="Q17" s="25">
        <v>51</v>
      </c>
      <c r="R17" s="25">
        <v>107.81</v>
      </c>
      <c r="S17" s="25">
        <v>94</v>
      </c>
      <c r="T17" s="25">
        <v>92.1</v>
      </c>
    </row>
    <row r="18" spans="1:42" ht="34" x14ac:dyDescent="0.2">
      <c r="A18" s="2" t="s">
        <v>56</v>
      </c>
      <c r="B18" s="28" t="s">
        <v>57</v>
      </c>
      <c r="C18" s="20">
        <v>40.1</v>
      </c>
      <c r="D18" s="20">
        <f>D21</f>
        <v>4.1100000000000003</v>
      </c>
      <c r="E18" s="20">
        <f>E21</f>
        <v>4.4400000000000004</v>
      </c>
      <c r="F18" s="20">
        <v>13</v>
      </c>
      <c r="G18" s="20">
        <v>6.8</v>
      </c>
      <c r="H18" s="20">
        <v>4.5</v>
      </c>
      <c r="I18" s="20">
        <f t="shared" ref="I18:O18" si="0">I21</f>
        <v>9.14</v>
      </c>
      <c r="J18" s="20">
        <f t="shared" si="0"/>
        <v>9.14</v>
      </c>
      <c r="K18" s="20">
        <f t="shared" si="0"/>
        <v>5.0999999999999996</v>
      </c>
      <c r="L18" s="20">
        <f t="shared" si="0"/>
        <v>6.04</v>
      </c>
      <c r="M18" s="20">
        <f t="shared" si="0"/>
        <v>5.21</v>
      </c>
      <c r="N18" s="20">
        <f t="shared" si="0"/>
        <v>9.39</v>
      </c>
      <c r="O18" s="20">
        <f t="shared" si="0"/>
        <v>5.05</v>
      </c>
      <c r="P18" s="20">
        <v>5.19</v>
      </c>
      <c r="Q18" s="20">
        <v>4.6900000000000004</v>
      </c>
      <c r="R18" s="20">
        <v>4.2</v>
      </c>
      <c r="S18" s="20">
        <v>4.0599999999999996</v>
      </c>
      <c r="T18" s="20">
        <v>5.5170000000000003</v>
      </c>
    </row>
    <row r="19" spans="1:42" x14ac:dyDescent="0.2">
      <c r="A19" s="3" t="s">
        <v>58</v>
      </c>
      <c r="B19" s="3" t="s">
        <v>59</v>
      </c>
      <c r="C19" s="25">
        <v>0.46</v>
      </c>
      <c r="D19" s="25">
        <f>(5*D17)/(3*D15)</f>
        <v>1.2103139800035081</v>
      </c>
      <c r="E19" s="25">
        <f>(5*E17)/(3*E15)</f>
        <v>0.80331618067467137</v>
      </c>
      <c r="F19" s="25">
        <f>D19</f>
        <v>1.2103139800035081</v>
      </c>
      <c r="G19" s="25">
        <v>3.48</v>
      </c>
      <c r="H19" s="25">
        <v>1</v>
      </c>
      <c r="I19" s="25">
        <f>(5*I17)/(3*I15)</f>
        <v>0.76928236083165646</v>
      </c>
      <c r="J19" s="25">
        <f>(5*J17)/(3*J15)</f>
        <v>0.76928236083165646</v>
      </c>
      <c r="K19" s="25">
        <f>(5*K17)/(3*K15)</f>
        <v>0.96662055265864999</v>
      </c>
      <c r="L19" s="25">
        <v>2</v>
      </c>
      <c r="M19" s="25">
        <f>(5*M17)/(3*M15)</f>
        <v>0.8529082774049217</v>
      </c>
      <c r="N19" s="25">
        <v>2</v>
      </c>
      <c r="O19" s="25">
        <v>2</v>
      </c>
      <c r="P19" s="25">
        <v>1.82</v>
      </c>
      <c r="Q19" s="25">
        <v>0.62</v>
      </c>
      <c r="R19" s="25">
        <f>(5*R17)/(3*R15)</f>
        <v>0.91581719334012923</v>
      </c>
      <c r="S19" s="25">
        <v>1.5</v>
      </c>
      <c r="T19" s="25">
        <v>1.6</v>
      </c>
    </row>
    <row r="20" spans="1:42" ht="51" x14ac:dyDescent="0.2">
      <c r="A20" s="2" t="s">
        <v>60</v>
      </c>
      <c r="B20" s="19" t="s">
        <v>61</v>
      </c>
      <c r="C20" s="20">
        <v>0.66600000000000004</v>
      </c>
      <c r="D20" s="20">
        <v>0.11</v>
      </c>
      <c r="E20" s="20">
        <v>0.44</v>
      </c>
      <c r="F20" s="20">
        <v>0.56999999999999995</v>
      </c>
      <c r="G20" s="20">
        <v>0.47</v>
      </c>
      <c r="H20" s="20">
        <v>0.52</v>
      </c>
      <c r="I20" s="20">
        <v>0.55000000000000004</v>
      </c>
      <c r="J20" s="20">
        <v>0.55000000000000004</v>
      </c>
      <c r="K20" s="20">
        <v>1.1000000000000001</v>
      </c>
      <c r="L20" s="20">
        <v>1.24</v>
      </c>
      <c r="M20" s="20">
        <v>1.21</v>
      </c>
      <c r="N20" s="20">
        <v>0.89</v>
      </c>
      <c r="O20" s="20">
        <v>1.05</v>
      </c>
      <c r="P20" s="20">
        <v>1.1599999999999999</v>
      </c>
      <c r="Q20" s="20">
        <v>1.1000000000000001</v>
      </c>
      <c r="R20" s="20">
        <v>1.28</v>
      </c>
      <c r="S20" s="20">
        <v>1.25</v>
      </c>
      <c r="T20" s="20">
        <v>1.02</v>
      </c>
    </row>
    <row r="21" spans="1:42" ht="52" thickBot="1" x14ac:dyDescent="0.25">
      <c r="A21" s="12" t="s">
        <v>62</v>
      </c>
      <c r="B21" s="29" t="s">
        <v>63</v>
      </c>
      <c r="C21" s="30">
        <v>8.4149999999999991</v>
      </c>
      <c r="D21" s="30">
        <f t="shared" ref="D21:O21" si="1">D20+D16</f>
        <v>4.1100000000000003</v>
      </c>
      <c r="E21" s="30">
        <f t="shared" si="1"/>
        <v>4.4400000000000004</v>
      </c>
      <c r="F21" s="30">
        <f t="shared" si="1"/>
        <v>4.57</v>
      </c>
      <c r="G21" s="30">
        <f t="shared" si="1"/>
        <v>4.47</v>
      </c>
      <c r="H21" s="30">
        <f t="shared" si="1"/>
        <v>4.5199999999999996</v>
      </c>
      <c r="I21" s="30">
        <f t="shared" si="1"/>
        <v>9.14</v>
      </c>
      <c r="J21" s="30">
        <f t="shared" si="1"/>
        <v>9.14</v>
      </c>
      <c r="K21" s="30">
        <f t="shared" si="1"/>
        <v>5.0999999999999996</v>
      </c>
      <c r="L21" s="30">
        <f t="shared" si="1"/>
        <v>6.04</v>
      </c>
      <c r="M21" s="30">
        <f t="shared" si="1"/>
        <v>5.21</v>
      </c>
      <c r="N21" s="30">
        <f t="shared" si="1"/>
        <v>9.39</v>
      </c>
      <c r="O21" s="30">
        <f t="shared" si="1"/>
        <v>5.05</v>
      </c>
      <c r="P21" s="30">
        <v>5.5</v>
      </c>
      <c r="Q21" s="30">
        <v>5.4</v>
      </c>
      <c r="R21" s="30">
        <v>6.5</v>
      </c>
      <c r="S21" s="30">
        <v>5.3</v>
      </c>
      <c r="T21" s="30">
        <v>5.5170000000000003</v>
      </c>
      <c r="X21" s="69" t="s">
        <v>131</v>
      </c>
      <c r="Y21" s="69"/>
      <c r="Z21" s="69"/>
      <c r="AA21" s="69"/>
      <c r="AB21" s="69"/>
      <c r="AC21" s="69"/>
      <c r="AD21" s="69"/>
      <c r="AE21" s="69"/>
      <c r="AF21" s="69"/>
      <c r="AG21" s="69"/>
      <c r="AH21" s="69"/>
      <c r="AI21" s="69"/>
      <c r="AJ21" s="69"/>
      <c r="AK21" s="69"/>
      <c r="AL21" s="69"/>
      <c r="AM21" s="69"/>
      <c r="AN21" s="69"/>
      <c r="AO21" s="69"/>
    </row>
    <row r="22" spans="1:42" ht="17" thickBot="1" x14ac:dyDescent="0.25">
      <c r="U22" s="13" t="s">
        <v>93</v>
      </c>
      <c r="X22" s="17" t="s">
        <v>0</v>
      </c>
      <c r="Y22" s="17" t="s">
        <v>1</v>
      </c>
      <c r="Z22" s="17" t="s">
        <v>2</v>
      </c>
      <c r="AA22" s="17" t="s">
        <v>3</v>
      </c>
      <c r="AB22" s="17" t="s">
        <v>4</v>
      </c>
      <c r="AC22" s="17" t="s">
        <v>5</v>
      </c>
      <c r="AD22" s="17" t="s">
        <v>6</v>
      </c>
      <c r="AE22" s="17" t="s">
        <v>7</v>
      </c>
      <c r="AF22" s="17" t="s">
        <v>8</v>
      </c>
      <c r="AG22" s="17" t="s">
        <v>9</v>
      </c>
      <c r="AH22" s="17" t="s">
        <v>10</v>
      </c>
      <c r="AI22" s="17" t="s">
        <v>11</v>
      </c>
      <c r="AJ22" s="17" t="s">
        <v>12</v>
      </c>
      <c r="AK22" s="17" t="s">
        <v>13</v>
      </c>
      <c r="AL22" s="17" t="s">
        <v>14</v>
      </c>
      <c r="AM22" s="17" t="s">
        <v>15</v>
      </c>
      <c r="AN22" s="17" t="s">
        <v>16</v>
      </c>
      <c r="AO22" s="17" t="s">
        <v>17</v>
      </c>
      <c r="AP22" s="51" t="s">
        <v>145</v>
      </c>
    </row>
    <row r="23" spans="1:42" x14ac:dyDescent="0.2">
      <c r="B23" s="1" t="s">
        <v>95</v>
      </c>
      <c r="C23" s="47">
        <v>27</v>
      </c>
      <c r="D23" s="47"/>
      <c r="E23" s="47">
        <v>15</v>
      </c>
      <c r="F23" s="47">
        <v>32</v>
      </c>
      <c r="G23" s="47">
        <v>8</v>
      </c>
      <c r="H23" s="47"/>
      <c r="I23" s="47">
        <v>5</v>
      </c>
      <c r="J23" s="47"/>
      <c r="K23" s="47">
        <v>13</v>
      </c>
      <c r="L23" s="47"/>
      <c r="M23" s="47"/>
      <c r="N23" s="47"/>
      <c r="O23" s="47"/>
      <c r="P23" s="47"/>
      <c r="Q23" s="47"/>
      <c r="R23" s="47"/>
      <c r="S23" s="47"/>
      <c r="T23" s="47"/>
      <c r="U23">
        <f>SUM(C23:T23)</f>
        <v>100</v>
      </c>
      <c r="W23" s="47" t="s">
        <v>132</v>
      </c>
      <c r="X23" s="47">
        <v>27</v>
      </c>
      <c r="Y23" s="47"/>
      <c r="Z23" s="47">
        <v>15</v>
      </c>
      <c r="AA23" s="47">
        <v>32</v>
      </c>
      <c r="AB23" s="47">
        <v>8</v>
      </c>
      <c r="AC23" s="47"/>
      <c r="AD23" s="47">
        <v>5</v>
      </c>
      <c r="AE23" s="47"/>
      <c r="AF23" s="47">
        <v>13</v>
      </c>
      <c r="AG23" s="47"/>
      <c r="AH23" s="47"/>
      <c r="AI23" s="47"/>
      <c r="AJ23" s="47"/>
      <c r="AK23" s="47"/>
      <c r="AL23" s="47"/>
      <c r="AM23" s="47"/>
      <c r="AN23" s="47"/>
      <c r="AO23" s="47"/>
      <c r="AP23">
        <f>SUM(X23:AO23)</f>
        <v>100</v>
      </c>
    </row>
    <row r="24" spans="1:42" x14ac:dyDescent="0.2">
      <c r="B24" s="1"/>
      <c r="W24" s="47" t="s">
        <v>133</v>
      </c>
      <c r="X24" s="47">
        <v>2</v>
      </c>
      <c r="Y24" s="47"/>
      <c r="Z24" s="47">
        <v>10</v>
      </c>
      <c r="AA24" s="47">
        <v>10</v>
      </c>
      <c r="AB24" s="47">
        <v>18</v>
      </c>
      <c r="AC24" s="47"/>
      <c r="AD24" s="47"/>
      <c r="AE24" s="47"/>
      <c r="AF24" s="47">
        <v>47</v>
      </c>
      <c r="AG24" s="47">
        <v>1</v>
      </c>
      <c r="AH24" s="47">
        <v>1</v>
      </c>
      <c r="AI24" s="47">
        <v>1</v>
      </c>
      <c r="AJ24" s="47">
        <v>1</v>
      </c>
      <c r="AK24" s="47"/>
      <c r="AL24" s="47"/>
      <c r="AM24" s="47"/>
      <c r="AN24" s="47"/>
      <c r="AO24" s="47">
        <v>9</v>
      </c>
      <c r="AP24">
        <f>SUM(X24:AO24)</f>
        <v>100</v>
      </c>
    </row>
    <row r="25" spans="1:42" x14ac:dyDescent="0.2">
      <c r="A25" s="1" t="s">
        <v>91</v>
      </c>
      <c r="B25" s="63" t="s">
        <v>92</v>
      </c>
      <c r="C25" s="63"/>
      <c r="D25" s="63"/>
      <c r="E25" s="63"/>
      <c r="F25" s="63"/>
      <c r="G25" s="63"/>
      <c r="H25" s="63"/>
      <c r="I25" s="63"/>
      <c r="J25" s="63"/>
      <c r="K25" s="63"/>
      <c r="L25" s="63"/>
      <c r="M25" s="63"/>
      <c r="N25" s="63"/>
      <c r="O25" s="63"/>
      <c r="P25" s="63"/>
      <c r="Q25" s="63"/>
      <c r="R25" s="63"/>
      <c r="S25" s="63"/>
      <c r="T25" s="63"/>
      <c r="V25" s="1"/>
      <c r="W25" s="47" t="s">
        <v>134</v>
      </c>
      <c r="X25" s="47"/>
      <c r="Y25" s="47"/>
      <c r="Z25" s="47"/>
      <c r="AA25" s="47"/>
      <c r="AB25" s="47"/>
      <c r="AC25" s="47"/>
      <c r="AD25" s="47"/>
      <c r="AE25" s="47"/>
      <c r="AF25" s="47"/>
      <c r="AG25" s="47">
        <v>5.47</v>
      </c>
      <c r="AH25" s="47">
        <v>0.53</v>
      </c>
      <c r="AI25" s="47">
        <v>15.47</v>
      </c>
      <c r="AJ25" s="47">
        <v>1.53</v>
      </c>
      <c r="AK25" s="47">
        <v>63.65</v>
      </c>
      <c r="AL25" s="47">
        <v>3.35</v>
      </c>
      <c r="AM25" s="47"/>
      <c r="AN25" s="47">
        <v>5.58</v>
      </c>
      <c r="AO25" s="47">
        <v>1.42</v>
      </c>
      <c r="AP25">
        <f>SUM(X25:AO25)</f>
        <v>97</v>
      </c>
    </row>
    <row r="26" spans="1:42" ht="17" thickBot="1" x14ac:dyDescent="0.25">
      <c r="A26" s="32" t="s">
        <v>96</v>
      </c>
      <c r="B26" s="32" t="s">
        <v>97</v>
      </c>
      <c r="C26" s="13" t="s">
        <v>0</v>
      </c>
      <c r="D26" s="13" t="s">
        <v>1</v>
      </c>
      <c r="E26" s="13" t="s">
        <v>2</v>
      </c>
      <c r="F26" s="13" t="s">
        <v>3</v>
      </c>
      <c r="G26" s="13" t="s">
        <v>4</v>
      </c>
      <c r="H26" s="13" t="s">
        <v>5</v>
      </c>
      <c r="I26" s="13" t="s">
        <v>6</v>
      </c>
      <c r="J26" s="13" t="s">
        <v>7</v>
      </c>
      <c r="K26" s="13" t="s">
        <v>8</v>
      </c>
      <c r="L26" s="13" t="s">
        <v>9</v>
      </c>
      <c r="M26" s="13" t="s">
        <v>10</v>
      </c>
      <c r="N26" s="13" t="s">
        <v>11</v>
      </c>
      <c r="O26" s="13" t="s">
        <v>12</v>
      </c>
      <c r="P26" s="13" t="s">
        <v>13</v>
      </c>
      <c r="Q26" s="13" t="s">
        <v>14</v>
      </c>
      <c r="R26" s="13" t="s">
        <v>15</v>
      </c>
      <c r="S26" s="13" t="s">
        <v>16</v>
      </c>
      <c r="T26" s="13" t="s">
        <v>17</v>
      </c>
      <c r="U26" s="13" t="s">
        <v>93</v>
      </c>
      <c r="V26" s="31"/>
      <c r="W26" s="47"/>
      <c r="X26" s="46"/>
      <c r="Y26" s="46"/>
      <c r="Z26" s="46"/>
      <c r="AA26" s="46"/>
      <c r="AB26" s="46"/>
      <c r="AC26" s="46"/>
      <c r="AD26" s="46"/>
      <c r="AE26" s="46"/>
      <c r="AF26" s="46"/>
      <c r="AG26" s="46"/>
      <c r="AH26" s="46"/>
      <c r="AI26" s="46"/>
      <c r="AJ26" s="46"/>
      <c r="AK26" s="46"/>
      <c r="AL26" s="46"/>
      <c r="AM26" s="46"/>
      <c r="AN26" s="46"/>
      <c r="AO26" s="46"/>
    </row>
    <row r="27" spans="1:42" x14ac:dyDescent="0.2">
      <c r="A27">
        <v>0.1</v>
      </c>
      <c r="B27">
        <v>298</v>
      </c>
      <c r="C27" t="e">
        <f>IF(C$23=0,0,C$23*C$6/C441)</f>
        <v>#DIV/0!</v>
      </c>
      <c r="D27">
        <f t="shared" ref="D27:T27" si="2">IF(D$23=0,0,D$23*D$6/D441)</f>
        <v>0</v>
      </c>
      <c r="E27" t="e">
        <f t="shared" si="2"/>
        <v>#DIV/0!</v>
      </c>
      <c r="F27" t="e">
        <f t="shared" si="2"/>
        <v>#DIV/0!</v>
      </c>
      <c r="G27" t="e">
        <f t="shared" si="2"/>
        <v>#DIV/0!</v>
      </c>
      <c r="H27">
        <f t="shared" si="2"/>
        <v>0</v>
      </c>
      <c r="I27" t="e">
        <f t="shared" si="2"/>
        <v>#DIV/0!</v>
      </c>
      <c r="J27">
        <f t="shared" si="2"/>
        <v>0</v>
      </c>
      <c r="K27" t="e">
        <f t="shared" si="2"/>
        <v>#DIV/0!</v>
      </c>
      <c r="L27">
        <f t="shared" si="2"/>
        <v>0</v>
      </c>
      <c r="M27">
        <f t="shared" si="2"/>
        <v>0</v>
      </c>
      <c r="N27">
        <f t="shared" si="2"/>
        <v>0</v>
      </c>
      <c r="O27">
        <f t="shared" si="2"/>
        <v>0</v>
      </c>
      <c r="P27">
        <f t="shared" si="2"/>
        <v>0</v>
      </c>
      <c r="Q27">
        <f t="shared" si="2"/>
        <v>0</v>
      </c>
      <c r="R27">
        <f t="shared" si="2"/>
        <v>0</v>
      </c>
      <c r="S27">
        <f t="shared" si="2"/>
        <v>0</v>
      </c>
      <c r="T27">
        <f t="shared" si="2"/>
        <v>0</v>
      </c>
      <c r="U27" t="e">
        <f>SUM(C27:T27)</f>
        <v>#DIV/0!</v>
      </c>
    </row>
    <row r="28" spans="1:42" x14ac:dyDescent="0.2">
      <c r="A28">
        <v>0.1</v>
      </c>
      <c r="B28">
        <f t="shared" ref="B28:B40" si="3">B27+50</f>
        <v>348</v>
      </c>
      <c r="C28" t="e">
        <f t="shared" ref="C28:T28" si="4">IF(C$23=0,0,C$23*C$6/C442)</f>
        <v>#DIV/0!</v>
      </c>
      <c r="D28">
        <f t="shared" si="4"/>
        <v>0</v>
      </c>
      <c r="E28" t="e">
        <f t="shared" si="4"/>
        <v>#DIV/0!</v>
      </c>
      <c r="F28" t="e">
        <f t="shared" si="4"/>
        <v>#DIV/0!</v>
      </c>
      <c r="G28" t="e">
        <f t="shared" si="4"/>
        <v>#DIV/0!</v>
      </c>
      <c r="H28">
        <f t="shared" si="4"/>
        <v>0</v>
      </c>
      <c r="I28" t="e">
        <f t="shared" si="4"/>
        <v>#DIV/0!</v>
      </c>
      <c r="J28">
        <f t="shared" si="4"/>
        <v>0</v>
      </c>
      <c r="K28" t="e">
        <f t="shared" si="4"/>
        <v>#DIV/0!</v>
      </c>
      <c r="L28">
        <f t="shared" si="4"/>
        <v>0</v>
      </c>
      <c r="M28">
        <f t="shared" si="4"/>
        <v>0</v>
      </c>
      <c r="N28">
        <f t="shared" si="4"/>
        <v>0</v>
      </c>
      <c r="O28">
        <f t="shared" si="4"/>
        <v>0</v>
      </c>
      <c r="P28">
        <f t="shared" si="4"/>
        <v>0</v>
      </c>
      <c r="Q28">
        <f t="shared" si="4"/>
        <v>0</v>
      </c>
      <c r="R28">
        <f t="shared" si="4"/>
        <v>0</v>
      </c>
      <c r="S28">
        <f t="shared" si="4"/>
        <v>0</v>
      </c>
      <c r="T28">
        <f t="shared" si="4"/>
        <v>0</v>
      </c>
      <c r="U28" t="e">
        <f t="shared" ref="U28:U82" si="5">SUM(C28:T28)</f>
        <v>#DIV/0!</v>
      </c>
    </row>
    <row r="29" spans="1:42" x14ac:dyDescent="0.2">
      <c r="A29">
        <v>0.1</v>
      </c>
      <c r="B29">
        <f t="shared" si="3"/>
        <v>398</v>
      </c>
      <c r="C29" t="e">
        <f t="shared" ref="C29:T29" si="6">IF(C$23=0,0,C$23*C$6/C443)</f>
        <v>#DIV/0!</v>
      </c>
      <c r="D29">
        <f t="shared" si="6"/>
        <v>0</v>
      </c>
      <c r="E29" t="e">
        <f t="shared" si="6"/>
        <v>#DIV/0!</v>
      </c>
      <c r="F29" t="e">
        <f t="shared" si="6"/>
        <v>#DIV/0!</v>
      </c>
      <c r="G29" t="e">
        <f t="shared" si="6"/>
        <v>#DIV/0!</v>
      </c>
      <c r="H29">
        <f t="shared" si="6"/>
        <v>0</v>
      </c>
      <c r="I29" t="e">
        <f t="shared" si="6"/>
        <v>#DIV/0!</v>
      </c>
      <c r="J29">
        <f t="shared" si="6"/>
        <v>0</v>
      </c>
      <c r="K29" t="e">
        <f t="shared" si="6"/>
        <v>#DIV/0!</v>
      </c>
      <c r="L29">
        <f t="shared" si="6"/>
        <v>0</v>
      </c>
      <c r="M29">
        <f t="shared" si="6"/>
        <v>0</v>
      </c>
      <c r="N29">
        <f t="shared" si="6"/>
        <v>0</v>
      </c>
      <c r="O29">
        <f t="shared" si="6"/>
        <v>0</v>
      </c>
      <c r="P29">
        <f t="shared" si="6"/>
        <v>0</v>
      </c>
      <c r="Q29">
        <f t="shared" si="6"/>
        <v>0</v>
      </c>
      <c r="R29">
        <f t="shared" si="6"/>
        <v>0</v>
      </c>
      <c r="S29">
        <f t="shared" si="6"/>
        <v>0</v>
      </c>
      <c r="T29">
        <f t="shared" si="6"/>
        <v>0</v>
      </c>
      <c r="U29" t="e">
        <f t="shared" si="5"/>
        <v>#DIV/0!</v>
      </c>
    </row>
    <row r="30" spans="1:42" x14ac:dyDescent="0.2">
      <c r="A30">
        <v>0.1</v>
      </c>
      <c r="B30">
        <f t="shared" si="3"/>
        <v>448</v>
      </c>
      <c r="C30" t="e">
        <f t="shared" ref="C30:T30" si="7">IF(C$23=0,0,C$23*C$6/C444)</f>
        <v>#DIV/0!</v>
      </c>
      <c r="D30">
        <f t="shared" si="7"/>
        <v>0</v>
      </c>
      <c r="E30" t="e">
        <f t="shared" si="7"/>
        <v>#DIV/0!</v>
      </c>
      <c r="F30" t="e">
        <f t="shared" si="7"/>
        <v>#DIV/0!</v>
      </c>
      <c r="G30" t="e">
        <f t="shared" si="7"/>
        <v>#DIV/0!</v>
      </c>
      <c r="H30">
        <f t="shared" si="7"/>
        <v>0</v>
      </c>
      <c r="I30" t="e">
        <f t="shared" si="7"/>
        <v>#DIV/0!</v>
      </c>
      <c r="J30">
        <f t="shared" si="7"/>
        <v>0</v>
      </c>
      <c r="K30" t="e">
        <f t="shared" si="7"/>
        <v>#DIV/0!</v>
      </c>
      <c r="L30">
        <f t="shared" si="7"/>
        <v>0</v>
      </c>
      <c r="M30">
        <f t="shared" si="7"/>
        <v>0</v>
      </c>
      <c r="N30">
        <f t="shared" si="7"/>
        <v>0</v>
      </c>
      <c r="O30">
        <f t="shared" si="7"/>
        <v>0</v>
      </c>
      <c r="P30">
        <f t="shared" si="7"/>
        <v>0</v>
      </c>
      <c r="Q30">
        <f t="shared" si="7"/>
        <v>0</v>
      </c>
      <c r="R30">
        <f t="shared" si="7"/>
        <v>0</v>
      </c>
      <c r="S30">
        <f t="shared" si="7"/>
        <v>0</v>
      </c>
      <c r="T30">
        <f t="shared" si="7"/>
        <v>0</v>
      </c>
      <c r="U30" t="e">
        <f t="shared" si="5"/>
        <v>#DIV/0!</v>
      </c>
    </row>
    <row r="31" spans="1:42" x14ac:dyDescent="0.2">
      <c r="A31">
        <v>0.1</v>
      </c>
      <c r="B31">
        <f t="shared" si="3"/>
        <v>498</v>
      </c>
      <c r="C31" t="e">
        <f t="shared" ref="C31:T31" si="8">IF(C$23=0,0,C$23*C$6/C445)</f>
        <v>#DIV/0!</v>
      </c>
      <c r="D31">
        <f t="shared" si="8"/>
        <v>0</v>
      </c>
      <c r="E31" t="e">
        <f t="shared" si="8"/>
        <v>#DIV/0!</v>
      </c>
      <c r="F31" t="e">
        <f t="shared" si="8"/>
        <v>#DIV/0!</v>
      </c>
      <c r="G31" t="e">
        <f t="shared" si="8"/>
        <v>#DIV/0!</v>
      </c>
      <c r="H31">
        <f t="shared" si="8"/>
        <v>0</v>
      </c>
      <c r="I31" t="e">
        <f t="shared" si="8"/>
        <v>#DIV/0!</v>
      </c>
      <c r="J31">
        <f t="shared" si="8"/>
        <v>0</v>
      </c>
      <c r="K31" t="e">
        <f t="shared" si="8"/>
        <v>#DIV/0!</v>
      </c>
      <c r="L31">
        <f t="shared" si="8"/>
        <v>0</v>
      </c>
      <c r="M31">
        <f t="shared" si="8"/>
        <v>0</v>
      </c>
      <c r="N31">
        <f t="shared" si="8"/>
        <v>0</v>
      </c>
      <c r="O31">
        <f t="shared" si="8"/>
        <v>0</v>
      </c>
      <c r="P31">
        <f t="shared" si="8"/>
        <v>0</v>
      </c>
      <c r="Q31">
        <f t="shared" si="8"/>
        <v>0</v>
      </c>
      <c r="R31">
        <f t="shared" si="8"/>
        <v>0</v>
      </c>
      <c r="S31">
        <f t="shared" si="8"/>
        <v>0</v>
      </c>
      <c r="T31">
        <f t="shared" si="8"/>
        <v>0</v>
      </c>
      <c r="U31" t="e">
        <f t="shared" si="5"/>
        <v>#DIV/0!</v>
      </c>
    </row>
    <row r="32" spans="1:42" x14ac:dyDescent="0.2">
      <c r="A32">
        <v>0.1</v>
      </c>
      <c r="B32">
        <f t="shared" si="3"/>
        <v>548</v>
      </c>
      <c r="C32" t="e">
        <f t="shared" ref="C32:T32" si="9">IF(C$23=0,0,C$23*C$6/C446)</f>
        <v>#DIV/0!</v>
      </c>
      <c r="D32">
        <f t="shared" si="9"/>
        <v>0</v>
      </c>
      <c r="E32" t="e">
        <f t="shared" si="9"/>
        <v>#DIV/0!</v>
      </c>
      <c r="F32" t="e">
        <f t="shared" si="9"/>
        <v>#DIV/0!</v>
      </c>
      <c r="G32" t="e">
        <f t="shared" si="9"/>
        <v>#DIV/0!</v>
      </c>
      <c r="H32">
        <f t="shared" si="9"/>
        <v>0</v>
      </c>
      <c r="I32" t="e">
        <f t="shared" si="9"/>
        <v>#DIV/0!</v>
      </c>
      <c r="J32">
        <f t="shared" si="9"/>
        <v>0</v>
      </c>
      <c r="K32" t="e">
        <f t="shared" si="9"/>
        <v>#DIV/0!</v>
      </c>
      <c r="L32">
        <f t="shared" si="9"/>
        <v>0</v>
      </c>
      <c r="M32">
        <f t="shared" si="9"/>
        <v>0</v>
      </c>
      <c r="N32">
        <f t="shared" si="9"/>
        <v>0</v>
      </c>
      <c r="O32">
        <f t="shared" si="9"/>
        <v>0</v>
      </c>
      <c r="P32">
        <f t="shared" si="9"/>
        <v>0</v>
      </c>
      <c r="Q32">
        <f t="shared" si="9"/>
        <v>0</v>
      </c>
      <c r="R32">
        <f t="shared" si="9"/>
        <v>0</v>
      </c>
      <c r="S32">
        <f t="shared" si="9"/>
        <v>0</v>
      </c>
      <c r="T32">
        <f t="shared" si="9"/>
        <v>0</v>
      </c>
      <c r="U32" t="e">
        <f t="shared" si="5"/>
        <v>#DIV/0!</v>
      </c>
    </row>
    <row r="33" spans="1:21" x14ac:dyDescent="0.2">
      <c r="A33">
        <v>0.1</v>
      </c>
      <c r="B33">
        <f t="shared" si="3"/>
        <v>598</v>
      </c>
      <c r="C33" t="e">
        <f t="shared" ref="C33:T33" si="10">IF(C$23=0,0,C$23*C$6/C447)</f>
        <v>#DIV/0!</v>
      </c>
      <c r="D33">
        <f t="shared" si="10"/>
        <v>0</v>
      </c>
      <c r="E33" t="e">
        <f t="shared" si="10"/>
        <v>#DIV/0!</v>
      </c>
      <c r="F33" t="e">
        <f t="shared" si="10"/>
        <v>#DIV/0!</v>
      </c>
      <c r="G33" t="e">
        <f t="shared" si="10"/>
        <v>#DIV/0!</v>
      </c>
      <c r="H33">
        <f t="shared" si="10"/>
        <v>0</v>
      </c>
      <c r="I33" t="e">
        <f t="shared" si="10"/>
        <v>#DIV/0!</v>
      </c>
      <c r="J33">
        <f t="shared" si="10"/>
        <v>0</v>
      </c>
      <c r="K33" t="e">
        <f t="shared" si="10"/>
        <v>#DIV/0!</v>
      </c>
      <c r="L33">
        <f t="shared" si="10"/>
        <v>0</v>
      </c>
      <c r="M33">
        <f t="shared" si="10"/>
        <v>0</v>
      </c>
      <c r="N33">
        <f t="shared" si="10"/>
        <v>0</v>
      </c>
      <c r="O33">
        <f t="shared" si="10"/>
        <v>0</v>
      </c>
      <c r="P33">
        <f t="shared" si="10"/>
        <v>0</v>
      </c>
      <c r="Q33">
        <f t="shared" si="10"/>
        <v>0</v>
      </c>
      <c r="R33">
        <f t="shared" si="10"/>
        <v>0</v>
      </c>
      <c r="S33">
        <f t="shared" si="10"/>
        <v>0</v>
      </c>
      <c r="T33">
        <f t="shared" si="10"/>
        <v>0</v>
      </c>
      <c r="U33" t="e">
        <f t="shared" si="5"/>
        <v>#DIV/0!</v>
      </c>
    </row>
    <row r="34" spans="1:21" x14ac:dyDescent="0.2">
      <c r="A34">
        <v>0.1</v>
      </c>
      <c r="B34">
        <f t="shared" si="3"/>
        <v>648</v>
      </c>
      <c r="C34" t="e">
        <f t="shared" ref="C34:T34" si="11">IF(C$23=0,0,C$23*C$6/C448)</f>
        <v>#DIV/0!</v>
      </c>
      <c r="D34">
        <f t="shared" si="11"/>
        <v>0</v>
      </c>
      <c r="E34" t="e">
        <f t="shared" si="11"/>
        <v>#DIV/0!</v>
      </c>
      <c r="F34" t="e">
        <f t="shared" si="11"/>
        <v>#DIV/0!</v>
      </c>
      <c r="G34" t="e">
        <f t="shared" si="11"/>
        <v>#DIV/0!</v>
      </c>
      <c r="H34">
        <f t="shared" si="11"/>
        <v>0</v>
      </c>
      <c r="I34" t="e">
        <f t="shared" si="11"/>
        <v>#DIV/0!</v>
      </c>
      <c r="J34">
        <f t="shared" si="11"/>
        <v>0</v>
      </c>
      <c r="K34" t="e">
        <f t="shared" si="11"/>
        <v>#DIV/0!</v>
      </c>
      <c r="L34">
        <f t="shared" si="11"/>
        <v>0</v>
      </c>
      <c r="M34">
        <f t="shared" si="11"/>
        <v>0</v>
      </c>
      <c r="N34">
        <f t="shared" si="11"/>
        <v>0</v>
      </c>
      <c r="O34">
        <f t="shared" si="11"/>
        <v>0</v>
      </c>
      <c r="P34">
        <f t="shared" si="11"/>
        <v>0</v>
      </c>
      <c r="Q34">
        <f t="shared" si="11"/>
        <v>0</v>
      </c>
      <c r="R34">
        <f t="shared" si="11"/>
        <v>0</v>
      </c>
      <c r="S34">
        <f t="shared" si="11"/>
        <v>0</v>
      </c>
      <c r="T34">
        <f t="shared" si="11"/>
        <v>0</v>
      </c>
      <c r="U34" t="e">
        <f t="shared" si="5"/>
        <v>#DIV/0!</v>
      </c>
    </row>
    <row r="35" spans="1:21" x14ac:dyDescent="0.2">
      <c r="A35">
        <v>0.1</v>
      </c>
      <c r="B35">
        <f t="shared" si="3"/>
        <v>698</v>
      </c>
      <c r="C35" t="e">
        <f t="shared" ref="C35:T35" si="12">IF(C$23=0,0,C$23*C$6/C449)</f>
        <v>#DIV/0!</v>
      </c>
      <c r="D35">
        <f t="shared" si="12"/>
        <v>0</v>
      </c>
      <c r="E35" t="e">
        <f t="shared" si="12"/>
        <v>#DIV/0!</v>
      </c>
      <c r="F35" t="e">
        <f t="shared" si="12"/>
        <v>#DIV/0!</v>
      </c>
      <c r="G35" t="e">
        <f t="shared" si="12"/>
        <v>#DIV/0!</v>
      </c>
      <c r="H35">
        <f t="shared" si="12"/>
        <v>0</v>
      </c>
      <c r="I35" t="e">
        <f t="shared" si="12"/>
        <v>#DIV/0!</v>
      </c>
      <c r="J35">
        <f t="shared" si="12"/>
        <v>0</v>
      </c>
      <c r="K35" t="e">
        <f t="shared" si="12"/>
        <v>#DIV/0!</v>
      </c>
      <c r="L35">
        <f t="shared" si="12"/>
        <v>0</v>
      </c>
      <c r="M35">
        <f t="shared" si="12"/>
        <v>0</v>
      </c>
      <c r="N35">
        <f t="shared" si="12"/>
        <v>0</v>
      </c>
      <c r="O35">
        <f t="shared" si="12"/>
        <v>0</v>
      </c>
      <c r="P35">
        <f t="shared" si="12"/>
        <v>0</v>
      </c>
      <c r="Q35">
        <f t="shared" si="12"/>
        <v>0</v>
      </c>
      <c r="R35">
        <f t="shared" si="12"/>
        <v>0</v>
      </c>
      <c r="S35">
        <f t="shared" si="12"/>
        <v>0</v>
      </c>
      <c r="T35">
        <f t="shared" si="12"/>
        <v>0</v>
      </c>
      <c r="U35" t="e">
        <f t="shared" si="5"/>
        <v>#DIV/0!</v>
      </c>
    </row>
    <row r="36" spans="1:21" x14ac:dyDescent="0.2">
      <c r="A36">
        <v>0.1</v>
      </c>
      <c r="B36">
        <f t="shared" si="3"/>
        <v>748</v>
      </c>
      <c r="C36" t="e">
        <f t="shared" ref="C36:T36" si="13">IF(C$23=0,0,C$23*C$6/C450)</f>
        <v>#DIV/0!</v>
      </c>
      <c r="D36">
        <f t="shared" si="13"/>
        <v>0</v>
      </c>
      <c r="E36" t="e">
        <f t="shared" si="13"/>
        <v>#DIV/0!</v>
      </c>
      <c r="F36" t="e">
        <f t="shared" si="13"/>
        <v>#DIV/0!</v>
      </c>
      <c r="G36" t="e">
        <f t="shared" si="13"/>
        <v>#DIV/0!</v>
      </c>
      <c r="H36">
        <f t="shared" si="13"/>
        <v>0</v>
      </c>
      <c r="I36" t="e">
        <f t="shared" si="13"/>
        <v>#DIV/0!</v>
      </c>
      <c r="J36">
        <f t="shared" si="13"/>
        <v>0</v>
      </c>
      <c r="K36" t="e">
        <f t="shared" si="13"/>
        <v>#DIV/0!</v>
      </c>
      <c r="L36">
        <f t="shared" si="13"/>
        <v>0</v>
      </c>
      <c r="M36">
        <f t="shared" si="13"/>
        <v>0</v>
      </c>
      <c r="N36">
        <f t="shared" si="13"/>
        <v>0</v>
      </c>
      <c r="O36">
        <f t="shared" si="13"/>
        <v>0</v>
      </c>
      <c r="P36">
        <f t="shared" si="13"/>
        <v>0</v>
      </c>
      <c r="Q36">
        <f t="shared" si="13"/>
        <v>0</v>
      </c>
      <c r="R36">
        <f t="shared" si="13"/>
        <v>0</v>
      </c>
      <c r="S36">
        <f t="shared" si="13"/>
        <v>0</v>
      </c>
      <c r="T36">
        <f t="shared" si="13"/>
        <v>0</v>
      </c>
      <c r="U36" t="e">
        <f t="shared" si="5"/>
        <v>#DIV/0!</v>
      </c>
    </row>
    <row r="37" spans="1:21" x14ac:dyDescent="0.2">
      <c r="A37">
        <v>0.1</v>
      </c>
      <c r="B37">
        <f t="shared" si="3"/>
        <v>798</v>
      </c>
      <c r="C37" t="e">
        <f t="shared" ref="C37:T37" si="14">IF(C$23=0,0,C$23*C$6/C451)</f>
        <v>#DIV/0!</v>
      </c>
      <c r="D37">
        <f t="shared" si="14"/>
        <v>0</v>
      </c>
      <c r="E37" t="e">
        <f t="shared" si="14"/>
        <v>#DIV/0!</v>
      </c>
      <c r="F37" t="e">
        <f t="shared" si="14"/>
        <v>#DIV/0!</v>
      </c>
      <c r="G37" t="e">
        <f t="shared" si="14"/>
        <v>#DIV/0!</v>
      </c>
      <c r="H37">
        <f t="shared" si="14"/>
        <v>0</v>
      </c>
      <c r="I37" t="e">
        <f t="shared" si="14"/>
        <v>#DIV/0!</v>
      </c>
      <c r="J37">
        <f t="shared" si="14"/>
        <v>0</v>
      </c>
      <c r="K37" t="e">
        <f t="shared" si="14"/>
        <v>#DIV/0!</v>
      </c>
      <c r="L37">
        <f t="shared" si="14"/>
        <v>0</v>
      </c>
      <c r="M37">
        <f t="shared" si="14"/>
        <v>0</v>
      </c>
      <c r="N37">
        <f t="shared" si="14"/>
        <v>0</v>
      </c>
      <c r="O37">
        <f t="shared" si="14"/>
        <v>0</v>
      </c>
      <c r="P37">
        <f t="shared" si="14"/>
        <v>0</v>
      </c>
      <c r="Q37">
        <f t="shared" si="14"/>
        <v>0</v>
      </c>
      <c r="R37">
        <f t="shared" si="14"/>
        <v>0</v>
      </c>
      <c r="S37">
        <f t="shared" si="14"/>
        <v>0</v>
      </c>
      <c r="T37">
        <f t="shared" si="14"/>
        <v>0</v>
      </c>
      <c r="U37" t="e">
        <f t="shared" si="5"/>
        <v>#DIV/0!</v>
      </c>
    </row>
    <row r="38" spans="1:21" x14ac:dyDescent="0.2">
      <c r="A38">
        <v>0.1</v>
      </c>
      <c r="B38">
        <f t="shared" si="3"/>
        <v>848</v>
      </c>
      <c r="C38" t="e">
        <f t="shared" ref="C38:T38" si="15">IF(C$23=0,0,C$23*C$6/C452)</f>
        <v>#DIV/0!</v>
      </c>
      <c r="D38">
        <f t="shared" si="15"/>
        <v>0</v>
      </c>
      <c r="E38" t="e">
        <f t="shared" si="15"/>
        <v>#DIV/0!</v>
      </c>
      <c r="F38" t="e">
        <f t="shared" si="15"/>
        <v>#DIV/0!</v>
      </c>
      <c r="G38" t="e">
        <f t="shared" si="15"/>
        <v>#DIV/0!</v>
      </c>
      <c r="H38">
        <f t="shared" si="15"/>
        <v>0</v>
      </c>
      <c r="I38" t="e">
        <f t="shared" si="15"/>
        <v>#DIV/0!</v>
      </c>
      <c r="J38">
        <f t="shared" si="15"/>
        <v>0</v>
      </c>
      <c r="K38" t="e">
        <f t="shared" si="15"/>
        <v>#DIV/0!</v>
      </c>
      <c r="L38">
        <f t="shared" si="15"/>
        <v>0</v>
      </c>
      <c r="M38">
        <f t="shared" si="15"/>
        <v>0</v>
      </c>
      <c r="N38">
        <f t="shared" si="15"/>
        <v>0</v>
      </c>
      <c r="O38">
        <f t="shared" si="15"/>
        <v>0</v>
      </c>
      <c r="P38">
        <f t="shared" si="15"/>
        <v>0</v>
      </c>
      <c r="Q38">
        <f t="shared" si="15"/>
        <v>0</v>
      </c>
      <c r="R38">
        <f t="shared" si="15"/>
        <v>0</v>
      </c>
      <c r="S38">
        <f t="shared" si="15"/>
        <v>0</v>
      </c>
      <c r="T38">
        <f t="shared" si="15"/>
        <v>0</v>
      </c>
      <c r="U38" t="e">
        <f t="shared" si="5"/>
        <v>#DIV/0!</v>
      </c>
    </row>
    <row r="39" spans="1:21" x14ac:dyDescent="0.2">
      <c r="A39">
        <v>0.1</v>
      </c>
      <c r="B39">
        <f t="shared" si="3"/>
        <v>898</v>
      </c>
      <c r="C39" t="e">
        <f t="shared" ref="C39:T39" si="16">IF(C$23=0,0,C$23*C$6/C453)</f>
        <v>#DIV/0!</v>
      </c>
      <c r="D39">
        <f t="shared" si="16"/>
        <v>0</v>
      </c>
      <c r="E39" t="e">
        <f t="shared" si="16"/>
        <v>#DIV/0!</v>
      </c>
      <c r="F39" t="e">
        <f t="shared" si="16"/>
        <v>#DIV/0!</v>
      </c>
      <c r="G39" t="e">
        <f t="shared" si="16"/>
        <v>#DIV/0!</v>
      </c>
      <c r="H39">
        <f t="shared" si="16"/>
        <v>0</v>
      </c>
      <c r="I39" t="e">
        <f t="shared" si="16"/>
        <v>#DIV/0!</v>
      </c>
      <c r="J39">
        <f t="shared" si="16"/>
        <v>0</v>
      </c>
      <c r="K39" t="e">
        <f t="shared" si="16"/>
        <v>#DIV/0!</v>
      </c>
      <c r="L39">
        <f t="shared" si="16"/>
        <v>0</v>
      </c>
      <c r="M39">
        <f t="shared" si="16"/>
        <v>0</v>
      </c>
      <c r="N39">
        <f t="shared" si="16"/>
        <v>0</v>
      </c>
      <c r="O39">
        <f t="shared" si="16"/>
        <v>0</v>
      </c>
      <c r="P39">
        <f t="shared" si="16"/>
        <v>0</v>
      </c>
      <c r="Q39">
        <f t="shared" si="16"/>
        <v>0</v>
      </c>
      <c r="R39">
        <f t="shared" si="16"/>
        <v>0</v>
      </c>
      <c r="S39">
        <f t="shared" si="16"/>
        <v>0</v>
      </c>
      <c r="T39">
        <f t="shared" si="16"/>
        <v>0</v>
      </c>
      <c r="U39" t="e">
        <f t="shared" si="5"/>
        <v>#DIV/0!</v>
      </c>
    </row>
    <row r="40" spans="1:21" x14ac:dyDescent="0.2">
      <c r="A40">
        <v>0.1</v>
      </c>
      <c r="B40">
        <f t="shared" si="3"/>
        <v>948</v>
      </c>
      <c r="C40" t="e">
        <f t="shared" ref="C40:T40" si="17">IF(C$23=0,0,C$23*C$6/C454)</f>
        <v>#DIV/0!</v>
      </c>
      <c r="D40">
        <f t="shared" si="17"/>
        <v>0</v>
      </c>
      <c r="E40" t="e">
        <f t="shared" si="17"/>
        <v>#DIV/0!</v>
      </c>
      <c r="F40" t="e">
        <f t="shared" si="17"/>
        <v>#DIV/0!</v>
      </c>
      <c r="G40" t="e">
        <f t="shared" si="17"/>
        <v>#DIV/0!</v>
      </c>
      <c r="H40">
        <f t="shared" si="17"/>
        <v>0</v>
      </c>
      <c r="I40" t="e">
        <f t="shared" si="17"/>
        <v>#DIV/0!</v>
      </c>
      <c r="J40">
        <f t="shared" si="17"/>
        <v>0</v>
      </c>
      <c r="K40" t="e">
        <f t="shared" si="17"/>
        <v>#DIV/0!</v>
      </c>
      <c r="L40">
        <f t="shared" si="17"/>
        <v>0</v>
      </c>
      <c r="M40">
        <f t="shared" si="17"/>
        <v>0</v>
      </c>
      <c r="N40">
        <f t="shared" si="17"/>
        <v>0</v>
      </c>
      <c r="O40">
        <f t="shared" si="17"/>
        <v>0</v>
      </c>
      <c r="P40">
        <f t="shared" si="17"/>
        <v>0</v>
      </c>
      <c r="Q40">
        <f t="shared" si="17"/>
        <v>0</v>
      </c>
      <c r="R40">
        <f t="shared" si="17"/>
        <v>0</v>
      </c>
      <c r="S40">
        <f t="shared" si="17"/>
        <v>0</v>
      </c>
      <c r="T40">
        <f t="shared" si="17"/>
        <v>0</v>
      </c>
      <c r="U40" t="e">
        <f t="shared" si="5"/>
        <v>#DIV/0!</v>
      </c>
    </row>
    <row r="41" spans="1:21" x14ac:dyDescent="0.2">
      <c r="A41">
        <v>570.1</v>
      </c>
      <c r="B41">
        <v>298</v>
      </c>
      <c r="C41" t="e">
        <f t="shared" ref="C41:T41" si="18">IF(C$23=0,0,C$23*C$6/C455)</f>
        <v>#DIV/0!</v>
      </c>
      <c r="D41">
        <f t="shared" si="18"/>
        <v>0</v>
      </c>
      <c r="E41" t="e">
        <f t="shared" si="18"/>
        <v>#DIV/0!</v>
      </c>
      <c r="F41" t="e">
        <f t="shared" si="18"/>
        <v>#DIV/0!</v>
      </c>
      <c r="G41" t="e">
        <f t="shared" si="18"/>
        <v>#DIV/0!</v>
      </c>
      <c r="H41">
        <f t="shared" si="18"/>
        <v>0</v>
      </c>
      <c r="I41" t="e">
        <f t="shared" si="18"/>
        <v>#DIV/0!</v>
      </c>
      <c r="J41">
        <f t="shared" si="18"/>
        <v>0</v>
      </c>
      <c r="K41" t="e">
        <f t="shared" si="18"/>
        <v>#DIV/0!</v>
      </c>
      <c r="L41">
        <f t="shared" si="18"/>
        <v>0</v>
      </c>
      <c r="M41">
        <f t="shared" si="18"/>
        <v>0</v>
      </c>
      <c r="N41">
        <f t="shared" si="18"/>
        <v>0</v>
      </c>
      <c r="O41">
        <f t="shared" si="18"/>
        <v>0</v>
      </c>
      <c r="P41">
        <f t="shared" si="18"/>
        <v>0</v>
      </c>
      <c r="Q41">
        <f t="shared" si="18"/>
        <v>0</v>
      </c>
      <c r="R41">
        <f t="shared" si="18"/>
        <v>0</v>
      </c>
      <c r="S41">
        <f t="shared" si="18"/>
        <v>0</v>
      </c>
      <c r="T41">
        <f t="shared" si="18"/>
        <v>0</v>
      </c>
      <c r="U41" t="e">
        <f t="shared" si="5"/>
        <v>#DIV/0!</v>
      </c>
    </row>
    <row r="42" spans="1:21" x14ac:dyDescent="0.2">
      <c r="A42">
        <v>570.1</v>
      </c>
      <c r="B42">
        <f t="shared" ref="B42:B54" si="19">B41+50</f>
        <v>348</v>
      </c>
      <c r="C42" t="e">
        <f t="shared" ref="C42:T42" si="20">IF(C$23=0,0,C$23*C$6/C456)</f>
        <v>#DIV/0!</v>
      </c>
      <c r="D42">
        <f t="shared" si="20"/>
        <v>0</v>
      </c>
      <c r="E42" t="e">
        <f t="shared" si="20"/>
        <v>#DIV/0!</v>
      </c>
      <c r="F42" t="e">
        <f t="shared" si="20"/>
        <v>#DIV/0!</v>
      </c>
      <c r="G42" t="e">
        <f t="shared" si="20"/>
        <v>#DIV/0!</v>
      </c>
      <c r="H42">
        <f t="shared" si="20"/>
        <v>0</v>
      </c>
      <c r="I42" t="e">
        <f t="shared" si="20"/>
        <v>#DIV/0!</v>
      </c>
      <c r="J42">
        <f t="shared" si="20"/>
        <v>0</v>
      </c>
      <c r="K42" t="e">
        <f t="shared" si="20"/>
        <v>#DIV/0!</v>
      </c>
      <c r="L42">
        <f t="shared" si="20"/>
        <v>0</v>
      </c>
      <c r="M42">
        <f t="shared" si="20"/>
        <v>0</v>
      </c>
      <c r="N42">
        <f t="shared" si="20"/>
        <v>0</v>
      </c>
      <c r="O42">
        <f t="shared" si="20"/>
        <v>0</v>
      </c>
      <c r="P42">
        <f t="shared" si="20"/>
        <v>0</v>
      </c>
      <c r="Q42">
        <f t="shared" si="20"/>
        <v>0</v>
      </c>
      <c r="R42">
        <f t="shared" si="20"/>
        <v>0</v>
      </c>
      <c r="S42">
        <f t="shared" si="20"/>
        <v>0</v>
      </c>
      <c r="T42">
        <f t="shared" si="20"/>
        <v>0</v>
      </c>
      <c r="U42" t="e">
        <f t="shared" si="5"/>
        <v>#DIV/0!</v>
      </c>
    </row>
    <row r="43" spans="1:21" x14ac:dyDescent="0.2">
      <c r="A43">
        <v>570.1</v>
      </c>
      <c r="B43">
        <f t="shared" si="19"/>
        <v>398</v>
      </c>
      <c r="C43" t="e">
        <f t="shared" ref="C43:T43" si="21">IF(C$23=0,0,C$23*C$6/C457)</f>
        <v>#DIV/0!</v>
      </c>
      <c r="D43">
        <f t="shared" si="21"/>
        <v>0</v>
      </c>
      <c r="E43" t="e">
        <f t="shared" si="21"/>
        <v>#DIV/0!</v>
      </c>
      <c r="F43" t="e">
        <f t="shared" si="21"/>
        <v>#DIV/0!</v>
      </c>
      <c r="G43" t="e">
        <f t="shared" si="21"/>
        <v>#DIV/0!</v>
      </c>
      <c r="H43">
        <f t="shared" si="21"/>
        <v>0</v>
      </c>
      <c r="I43" t="e">
        <f t="shared" si="21"/>
        <v>#DIV/0!</v>
      </c>
      <c r="J43">
        <f t="shared" si="21"/>
        <v>0</v>
      </c>
      <c r="K43" t="e">
        <f t="shared" si="21"/>
        <v>#DIV/0!</v>
      </c>
      <c r="L43">
        <f t="shared" si="21"/>
        <v>0</v>
      </c>
      <c r="M43">
        <f t="shared" si="21"/>
        <v>0</v>
      </c>
      <c r="N43">
        <f t="shared" si="21"/>
        <v>0</v>
      </c>
      <c r="O43">
        <f t="shared" si="21"/>
        <v>0</v>
      </c>
      <c r="P43">
        <f t="shared" si="21"/>
        <v>0</v>
      </c>
      <c r="Q43">
        <f t="shared" si="21"/>
        <v>0</v>
      </c>
      <c r="R43">
        <f t="shared" si="21"/>
        <v>0</v>
      </c>
      <c r="S43">
        <f t="shared" si="21"/>
        <v>0</v>
      </c>
      <c r="T43">
        <f t="shared" si="21"/>
        <v>0</v>
      </c>
      <c r="U43" t="e">
        <f t="shared" si="5"/>
        <v>#DIV/0!</v>
      </c>
    </row>
    <row r="44" spans="1:21" x14ac:dyDescent="0.2">
      <c r="A44">
        <v>570.1</v>
      </c>
      <c r="B44">
        <f t="shared" si="19"/>
        <v>448</v>
      </c>
      <c r="C44" t="e">
        <f t="shared" ref="C44:T44" si="22">IF(C$23=0,0,C$23*C$6/C458)</f>
        <v>#DIV/0!</v>
      </c>
      <c r="D44">
        <f t="shared" si="22"/>
        <v>0</v>
      </c>
      <c r="E44" t="e">
        <f t="shared" si="22"/>
        <v>#DIV/0!</v>
      </c>
      <c r="F44" t="e">
        <f t="shared" si="22"/>
        <v>#DIV/0!</v>
      </c>
      <c r="G44" t="e">
        <f t="shared" si="22"/>
        <v>#DIV/0!</v>
      </c>
      <c r="H44">
        <f t="shared" si="22"/>
        <v>0</v>
      </c>
      <c r="I44" t="e">
        <f t="shared" si="22"/>
        <v>#DIV/0!</v>
      </c>
      <c r="J44">
        <f t="shared" si="22"/>
        <v>0</v>
      </c>
      <c r="K44" t="e">
        <f t="shared" si="22"/>
        <v>#DIV/0!</v>
      </c>
      <c r="L44">
        <f t="shared" si="22"/>
        <v>0</v>
      </c>
      <c r="M44">
        <f t="shared" si="22"/>
        <v>0</v>
      </c>
      <c r="N44">
        <f t="shared" si="22"/>
        <v>0</v>
      </c>
      <c r="O44">
        <f t="shared" si="22"/>
        <v>0</v>
      </c>
      <c r="P44">
        <f t="shared" si="22"/>
        <v>0</v>
      </c>
      <c r="Q44">
        <f t="shared" si="22"/>
        <v>0</v>
      </c>
      <c r="R44">
        <f t="shared" si="22"/>
        <v>0</v>
      </c>
      <c r="S44">
        <f t="shared" si="22"/>
        <v>0</v>
      </c>
      <c r="T44">
        <f t="shared" si="22"/>
        <v>0</v>
      </c>
      <c r="U44" t="e">
        <f t="shared" si="5"/>
        <v>#DIV/0!</v>
      </c>
    </row>
    <row r="45" spans="1:21" x14ac:dyDescent="0.2">
      <c r="A45">
        <v>570.1</v>
      </c>
      <c r="B45">
        <f t="shared" si="19"/>
        <v>498</v>
      </c>
      <c r="C45" t="e">
        <f t="shared" ref="C45:T45" si="23">IF(C$23=0,0,C$23*C$6/C459)</f>
        <v>#DIV/0!</v>
      </c>
      <c r="D45">
        <f t="shared" si="23"/>
        <v>0</v>
      </c>
      <c r="E45" t="e">
        <f t="shared" si="23"/>
        <v>#DIV/0!</v>
      </c>
      <c r="F45" t="e">
        <f t="shared" si="23"/>
        <v>#DIV/0!</v>
      </c>
      <c r="G45" t="e">
        <f t="shared" si="23"/>
        <v>#DIV/0!</v>
      </c>
      <c r="H45">
        <f t="shared" si="23"/>
        <v>0</v>
      </c>
      <c r="I45" t="e">
        <f t="shared" si="23"/>
        <v>#DIV/0!</v>
      </c>
      <c r="J45">
        <f t="shared" si="23"/>
        <v>0</v>
      </c>
      <c r="K45" t="e">
        <f t="shared" si="23"/>
        <v>#DIV/0!</v>
      </c>
      <c r="L45">
        <f t="shared" si="23"/>
        <v>0</v>
      </c>
      <c r="M45">
        <f t="shared" si="23"/>
        <v>0</v>
      </c>
      <c r="N45">
        <f t="shared" si="23"/>
        <v>0</v>
      </c>
      <c r="O45">
        <f t="shared" si="23"/>
        <v>0</v>
      </c>
      <c r="P45">
        <f t="shared" si="23"/>
        <v>0</v>
      </c>
      <c r="Q45">
        <f t="shared" si="23"/>
        <v>0</v>
      </c>
      <c r="R45">
        <f t="shared" si="23"/>
        <v>0</v>
      </c>
      <c r="S45">
        <f t="shared" si="23"/>
        <v>0</v>
      </c>
      <c r="T45">
        <f t="shared" si="23"/>
        <v>0</v>
      </c>
      <c r="U45" t="e">
        <f t="shared" si="5"/>
        <v>#DIV/0!</v>
      </c>
    </row>
    <row r="46" spans="1:21" x14ac:dyDescent="0.2">
      <c r="A46">
        <v>570.1</v>
      </c>
      <c r="B46">
        <f t="shared" si="19"/>
        <v>548</v>
      </c>
      <c r="C46" t="e">
        <f t="shared" ref="C46:T46" si="24">IF(C$23=0,0,C$23*C$6/C460)</f>
        <v>#DIV/0!</v>
      </c>
      <c r="D46">
        <f t="shared" si="24"/>
        <v>0</v>
      </c>
      <c r="E46" t="e">
        <f t="shared" si="24"/>
        <v>#DIV/0!</v>
      </c>
      <c r="F46" t="e">
        <f t="shared" si="24"/>
        <v>#DIV/0!</v>
      </c>
      <c r="G46" t="e">
        <f t="shared" si="24"/>
        <v>#DIV/0!</v>
      </c>
      <c r="H46">
        <f t="shared" si="24"/>
        <v>0</v>
      </c>
      <c r="I46" t="e">
        <f t="shared" si="24"/>
        <v>#DIV/0!</v>
      </c>
      <c r="J46">
        <f t="shared" si="24"/>
        <v>0</v>
      </c>
      <c r="K46" t="e">
        <f t="shared" si="24"/>
        <v>#DIV/0!</v>
      </c>
      <c r="L46">
        <f t="shared" si="24"/>
        <v>0</v>
      </c>
      <c r="M46">
        <f t="shared" si="24"/>
        <v>0</v>
      </c>
      <c r="N46">
        <f t="shared" si="24"/>
        <v>0</v>
      </c>
      <c r="O46">
        <f t="shared" si="24"/>
        <v>0</v>
      </c>
      <c r="P46">
        <f t="shared" si="24"/>
        <v>0</v>
      </c>
      <c r="Q46">
        <f t="shared" si="24"/>
        <v>0</v>
      </c>
      <c r="R46">
        <f t="shared" si="24"/>
        <v>0</v>
      </c>
      <c r="S46">
        <f t="shared" si="24"/>
        <v>0</v>
      </c>
      <c r="T46">
        <f t="shared" si="24"/>
        <v>0</v>
      </c>
      <c r="U46" t="e">
        <f t="shared" si="5"/>
        <v>#DIV/0!</v>
      </c>
    </row>
    <row r="47" spans="1:21" x14ac:dyDescent="0.2">
      <c r="A47">
        <v>570.1</v>
      </c>
      <c r="B47">
        <f t="shared" si="19"/>
        <v>598</v>
      </c>
      <c r="C47" t="e">
        <f t="shared" ref="C47:T47" si="25">IF(C$23=0,0,C$23*C$6/C461)</f>
        <v>#DIV/0!</v>
      </c>
      <c r="D47">
        <f t="shared" si="25"/>
        <v>0</v>
      </c>
      <c r="E47" t="e">
        <f t="shared" si="25"/>
        <v>#DIV/0!</v>
      </c>
      <c r="F47" t="e">
        <f t="shared" si="25"/>
        <v>#DIV/0!</v>
      </c>
      <c r="G47" t="e">
        <f t="shared" si="25"/>
        <v>#DIV/0!</v>
      </c>
      <c r="H47">
        <f t="shared" si="25"/>
        <v>0</v>
      </c>
      <c r="I47" t="e">
        <f t="shared" si="25"/>
        <v>#DIV/0!</v>
      </c>
      <c r="J47">
        <f t="shared" si="25"/>
        <v>0</v>
      </c>
      <c r="K47" t="e">
        <f t="shared" si="25"/>
        <v>#DIV/0!</v>
      </c>
      <c r="L47">
        <f t="shared" si="25"/>
        <v>0</v>
      </c>
      <c r="M47">
        <f t="shared" si="25"/>
        <v>0</v>
      </c>
      <c r="N47">
        <f t="shared" si="25"/>
        <v>0</v>
      </c>
      <c r="O47">
        <f t="shared" si="25"/>
        <v>0</v>
      </c>
      <c r="P47">
        <f t="shared" si="25"/>
        <v>0</v>
      </c>
      <c r="Q47">
        <f t="shared" si="25"/>
        <v>0</v>
      </c>
      <c r="R47">
        <f t="shared" si="25"/>
        <v>0</v>
      </c>
      <c r="S47">
        <f t="shared" si="25"/>
        <v>0</v>
      </c>
      <c r="T47">
        <f t="shared" si="25"/>
        <v>0</v>
      </c>
      <c r="U47" t="e">
        <f t="shared" si="5"/>
        <v>#DIV/0!</v>
      </c>
    </row>
    <row r="48" spans="1:21" x14ac:dyDescent="0.2">
      <c r="A48">
        <v>570.1</v>
      </c>
      <c r="B48">
        <f t="shared" si="19"/>
        <v>648</v>
      </c>
      <c r="C48" t="e">
        <f t="shared" ref="C48:T48" si="26">IF(C$23=0,0,C$23*C$6/C462)</f>
        <v>#DIV/0!</v>
      </c>
      <c r="D48">
        <f t="shared" si="26"/>
        <v>0</v>
      </c>
      <c r="E48" t="e">
        <f t="shared" si="26"/>
        <v>#DIV/0!</v>
      </c>
      <c r="F48" t="e">
        <f t="shared" si="26"/>
        <v>#DIV/0!</v>
      </c>
      <c r="G48" t="e">
        <f t="shared" si="26"/>
        <v>#DIV/0!</v>
      </c>
      <c r="H48">
        <f t="shared" si="26"/>
        <v>0</v>
      </c>
      <c r="I48" t="e">
        <f t="shared" si="26"/>
        <v>#DIV/0!</v>
      </c>
      <c r="J48">
        <f t="shared" si="26"/>
        <v>0</v>
      </c>
      <c r="K48" t="e">
        <f t="shared" si="26"/>
        <v>#DIV/0!</v>
      </c>
      <c r="L48">
        <f t="shared" si="26"/>
        <v>0</v>
      </c>
      <c r="M48">
        <f t="shared" si="26"/>
        <v>0</v>
      </c>
      <c r="N48">
        <f t="shared" si="26"/>
        <v>0</v>
      </c>
      <c r="O48">
        <f t="shared" si="26"/>
        <v>0</v>
      </c>
      <c r="P48">
        <f t="shared" si="26"/>
        <v>0</v>
      </c>
      <c r="Q48">
        <f t="shared" si="26"/>
        <v>0</v>
      </c>
      <c r="R48">
        <f t="shared" si="26"/>
        <v>0</v>
      </c>
      <c r="S48">
        <f t="shared" si="26"/>
        <v>0</v>
      </c>
      <c r="T48">
        <f t="shared" si="26"/>
        <v>0</v>
      </c>
      <c r="U48" t="e">
        <f t="shared" si="5"/>
        <v>#DIV/0!</v>
      </c>
    </row>
    <row r="49" spans="1:21" x14ac:dyDescent="0.2">
      <c r="A49">
        <v>570.1</v>
      </c>
      <c r="B49">
        <f t="shared" si="19"/>
        <v>698</v>
      </c>
      <c r="C49" t="e">
        <f t="shared" ref="C49:T49" si="27">IF(C$23=0,0,C$23*C$6/C463)</f>
        <v>#DIV/0!</v>
      </c>
      <c r="D49">
        <f t="shared" si="27"/>
        <v>0</v>
      </c>
      <c r="E49" t="e">
        <f t="shared" si="27"/>
        <v>#DIV/0!</v>
      </c>
      <c r="F49" t="e">
        <f t="shared" si="27"/>
        <v>#DIV/0!</v>
      </c>
      <c r="G49" t="e">
        <f t="shared" si="27"/>
        <v>#DIV/0!</v>
      </c>
      <c r="H49">
        <f t="shared" si="27"/>
        <v>0</v>
      </c>
      <c r="I49" t="e">
        <f t="shared" si="27"/>
        <v>#DIV/0!</v>
      </c>
      <c r="J49">
        <f t="shared" si="27"/>
        <v>0</v>
      </c>
      <c r="K49" t="e">
        <f t="shared" si="27"/>
        <v>#DIV/0!</v>
      </c>
      <c r="L49">
        <f t="shared" si="27"/>
        <v>0</v>
      </c>
      <c r="M49">
        <f t="shared" si="27"/>
        <v>0</v>
      </c>
      <c r="N49">
        <f t="shared" si="27"/>
        <v>0</v>
      </c>
      <c r="O49">
        <f t="shared" si="27"/>
        <v>0</v>
      </c>
      <c r="P49">
        <f t="shared" si="27"/>
        <v>0</v>
      </c>
      <c r="Q49">
        <f t="shared" si="27"/>
        <v>0</v>
      </c>
      <c r="R49">
        <f t="shared" si="27"/>
        <v>0</v>
      </c>
      <c r="S49">
        <f t="shared" si="27"/>
        <v>0</v>
      </c>
      <c r="T49">
        <f t="shared" si="27"/>
        <v>0</v>
      </c>
      <c r="U49" t="e">
        <f t="shared" si="5"/>
        <v>#DIV/0!</v>
      </c>
    </row>
    <row r="50" spans="1:21" x14ac:dyDescent="0.2">
      <c r="A50">
        <v>570.1</v>
      </c>
      <c r="B50">
        <f t="shared" si="19"/>
        <v>748</v>
      </c>
      <c r="C50" t="e">
        <f t="shared" ref="C50:T50" si="28">IF(C$23=0,0,C$23*C$6/C464)</f>
        <v>#DIV/0!</v>
      </c>
      <c r="D50">
        <f t="shared" si="28"/>
        <v>0</v>
      </c>
      <c r="E50" t="e">
        <f t="shared" si="28"/>
        <v>#DIV/0!</v>
      </c>
      <c r="F50" t="e">
        <f t="shared" si="28"/>
        <v>#DIV/0!</v>
      </c>
      <c r="G50" t="e">
        <f t="shared" si="28"/>
        <v>#DIV/0!</v>
      </c>
      <c r="H50">
        <f t="shared" si="28"/>
        <v>0</v>
      </c>
      <c r="I50" t="e">
        <f t="shared" si="28"/>
        <v>#DIV/0!</v>
      </c>
      <c r="J50">
        <f t="shared" si="28"/>
        <v>0</v>
      </c>
      <c r="K50" t="e">
        <f t="shared" si="28"/>
        <v>#DIV/0!</v>
      </c>
      <c r="L50">
        <f t="shared" si="28"/>
        <v>0</v>
      </c>
      <c r="M50">
        <f t="shared" si="28"/>
        <v>0</v>
      </c>
      <c r="N50">
        <f t="shared" si="28"/>
        <v>0</v>
      </c>
      <c r="O50">
        <f t="shared" si="28"/>
        <v>0</v>
      </c>
      <c r="P50">
        <f t="shared" si="28"/>
        <v>0</v>
      </c>
      <c r="Q50">
        <f t="shared" si="28"/>
        <v>0</v>
      </c>
      <c r="R50">
        <f t="shared" si="28"/>
        <v>0</v>
      </c>
      <c r="S50">
        <f t="shared" si="28"/>
        <v>0</v>
      </c>
      <c r="T50">
        <f t="shared" si="28"/>
        <v>0</v>
      </c>
      <c r="U50" t="e">
        <f t="shared" si="5"/>
        <v>#DIV/0!</v>
      </c>
    </row>
    <row r="51" spans="1:21" x14ac:dyDescent="0.2">
      <c r="A51">
        <v>570.1</v>
      </c>
      <c r="B51">
        <f t="shared" si="19"/>
        <v>798</v>
      </c>
      <c r="C51" t="e">
        <f t="shared" ref="C51:T51" si="29">IF(C$23=0,0,C$23*C$6/C465)</f>
        <v>#DIV/0!</v>
      </c>
      <c r="D51">
        <f t="shared" si="29"/>
        <v>0</v>
      </c>
      <c r="E51" t="e">
        <f t="shared" si="29"/>
        <v>#DIV/0!</v>
      </c>
      <c r="F51" t="e">
        <f t="shared" si="29"/>
        <v>#DIV/0!</v>
      </c>
      <c r="G51" t="e">
        <f t="shared" si="29"/>
        <v>#DIV/0!</v>
      </c>
      <c r="H51">
        <f t="shared" si="29"/>
        <v>0</v>
      </c>
      <c r="I51" t="e">
        <f t="shared" si="29"/>
        <v>#DIV/0!</v>
      </c>
      <c r="J51">
        <f t="shared" si="29"/>
        <v>0</v>
      </c>
      <c r="K51" t="e">
        <f t="shared" si="29"/>
        <v>#DIV/0!</v>
      </c>
      <c r="L51">
        <f t="shared" si="29"/>
        <v>0</v>
      </c>
      <c r="M51">
        <f t="shared" si="29"/>
        <v>0</v>
      </c>
      <c r="N51">
        <f t="shared" si="29"/>
        <v>0</v>
      </c>
      <c r="O51">
        <f t="shared" si="29"/>
        <v>0</v>
      </c>
      <c r="P51">
        <f t="shared" si="29"/>
        <v>0</v>
      </c>
      <c r="Q51">
        <f t="shared" si="29"/>
        <v>0</v>
      </c>
      <c r="R51">
        <f t="shared" si="29"/>
        <v>0</v>
      </c>
      <c r="S51">
        <f t="shared" si="29"/>
        <v>0</v>
      </c>
      <c r="T51">
        <f t="shared" si="29"/>
        <v>0</v>
      </c>
      <c r="U51" t="e">
        <f t="shared" si="5"/>
        <v>#DIV/0!</v>
      </c>
    </row>
    <row r="52" spans="1:21" x14ac:dyDescent="0.2">
      <c r="A52">
        <v>570.1</v>
      </c>
      <c r="B52">
        <f t="shared" si="19"/>
        <v>848</v>
      </c>
      <c r="C52" t="e">
        <f t="shared" ref="C52:T52" si="30">IF(C$23=0,0,C$23*C$6/C466)</f>
        <v>#DIV/0!</v>
      </c>
      <c r="D52">
        <f t="shared" si="30"/>
        <v>0</v>
      </c>
      <c r="E52" t="e">
        <f t="shared" si="30"/>
        <v>#DIV/0!</v>
      </c>
      <c r="F52" t="e">
        <f t="shared" si="30"/>
        <v>#DIV/0!</v>
      </c>
      <c r="G52" t="e">
        <f t="shared" si="30"/>
        <v>#DIV/0!</v>
      </c>
      <c r="H52">
        <f t="shared" si="30"/>
        <v>0</v>
      </c>
      <c r="I52" t="e">
        <f t="shared" si="30"/>
        <v>#DIV/0!</v>
      </c>
      <c r="J52">
        <f t="shared" si="30"/>
        <v>0</v>
      </c>
      <c r="K52" t="e">
        <f t="shared" si="30"/>
        <v>#DIV/0!</v>
      </c>
      <c r="L52">
        <f t="shared" si="30"/>
        <v>0</v>
      </c>
      <c r="M52">
        <f t="shared" si="30"/>
        <v>0</v>
      </c>
      <c r="N52">
        <f t="shared" si="30"/>
        <v>0</v>
      </c>
      <c r="O52">
        <f t="shared" si="30"/>
        <v>0</v>
      </c>
      <c r="P52">
        <f t="shared" si="30"/>
        <v>0</v>
      </c>
      <c r="Q52">
        <f t="shared" si="30"/>
        <v>0</v>
      </c>
      <c r="R52">
        <f t="shared" si="30"/>
        <v>0</v>
      </c>
      <c r="S52">
        <f t="shared" si="30"/>
        <v>0</v>
      </c>
      <c r="T52">
        <f t="shared" si="30"/>
        <v>0</v>
      </c>
      <c r="U52" t="e">
        <f t="shared" si="5"/>
        <v>#DIV/0!</v>
      </c>
    </row>
    <row r="53" spans="1:21" x14ac:dyDescent="0.2">
      <c r="A53">
        <v>570.1</v>
      </c>
      <c r="B53">
        <f t="shared" si="19"/>
        <v>898</v>
      </c>
      <c r="C53" t="e">
        <f t="shared" ref="C53:T53" si="31">IF(C$23=0,0,C$23*C$6/C467)</f>
        <v>#DIV/0!</v>
      </c>
      <c r="D53">
        <f t="shared" si="31"/>
        <v>0</v>
      </c>
      <c r="E53" t="e">
        <f t="shared" si="31"/>
        <v>#DIV/0!</v>
      </c>
      <c r="F53" t="e">
        <f t="shared" si="31"/>
        <v>#DIV/0!</v>
      </c>
      <c r="G53" t="e">
        <f t="shared" si="31"/>
        <v>#DIV/0!</v>
      </c>
      <c r="H53">
        <f t="shared" si="31"/>
        <v>0</v>
      </c>
      <c r="I53" t="e">
        <f t="shared" si="31"/>
        <v>#DIV/0!</v>
      </c>
      <c r="J53">
        <f t="shared" si="31"/>
        <v>0</v>
      </c>
      <c r="K53" t="e">
        <f t="shared" si="31"/>
        <v>#DIV/0!</v>
      </c>
      <c r="L53">
        <f t="shared" si="31"/>
        <v>0</v>
      </c>
      <c r="M53">
        <f t="shared" si="31"/>
        <v>0</v>
      </c>
      <c r="N53">
        <f t="shared" si="31"/>
        <v>0</v>
      </c>
      <c r="O53">
        <f t="shared" si="31"/>
        <v>0</v>
      </c>
      <c r="P53">
        <f t="shared" si="31"/>
        <v>0</v>
      </c>
      <c r="Q53">
        <f t="shared" si="31"/>
        <v>0</v>
      </c>
      <c r="R53">
        <f t="shared" si="31"/>
        <v>0</v>
      </c>
      <c r="S53">
        <f t="shared" si="31"/>
        <v>0</v>
      </c>
      <c r="T53">
        <f t="shared" si="31"/>
        <v>0</v>
      </c>
      <c r="U53" t="e">
        <f t="shared" si="5"/>
        <v>#DIV/0!</v>
      </c>
    </row>
    <row r="54" spans="1:21" x14ac:dyDescent="0.2">
      <c r="A54">
        <v>570.1</v>
      </c>
      <c r="B54">
        <f t="shared" si="19"/>
        <v>948</v>
      </c>
      <c r="C54" t="e">
        <f t="shared" ref="C54:T54" si="32">IF(C$23=0,0,C$23*C$6/C468)</f>
        <v>#DIV/0!</v>
      </c>
      <c r="D54">
        <f t="shared" si="32"/>
        <v>0</v>
      </c>
      <c r="E54" t="e">
        <f t="shared" si="32"/>
        <v>#DIV/0!</v>
      </c>
      <c r="F54" t="e">
        <f t="shared" si="32"/>
        <v>#DIV/0!</v>
      </c>
      <c r="G54" t="e">
        <f t="shared" si="32"/>
        <v>#DIV/0!</v>
      </c>
      <c r="H54">
        <f t="shared" si="32"/>
        <v>0</v>
      </c>
      <c r="I54" t="e">
        <f t="shared" si="32"/>
        <v>#DIV/0!</v>
      </c>
      <c r="J54">
        <f t="shared" si="32"/>
        <v>0</v>
      </c>
      <c r="K54" t="e">
        <f t="shared" si="32"/>
        <v>#DIV/0!</v>
      </c>
      <c r="L54">
        <f t="shared" si="32"/>
        <v>0</v>
      </c>
      <c r="M54">
        <f t="shared" si="32"/>
        <v>0</v>
      </c>
      <c r="N54">
        <f t="shared" si="32"/>
        <v>0</v>
      </c>
      <c r="O54">
        <f t="shared" si="32"/>
        <v>0</v>
      </c>
      <c r="P54">
        <f t="shared" si="32"/>
        <v>0</v>
      </c>
      <c r="Q54">
        <f t="shared" si="32"/>
        <v>0</v>
      </c>
      <c r="R54">
        <f t="shared" si="32"/>
        <v>0</v>
      </c>
      <c r="S54">
        <f t="shared" si="32"/>
        <v>0</v>
      </c>
      <c r="T54">
        <f t="shared" si="32"/>
        <v>0</v>
      </c>
      <c r="U54" t="e">
        <f t="shared" si="5"/>
        <v>#DIV/0!</v>
      </c>
    </row>
    <row r="55" spans="1:21" x14ac:dyDescent="0.2">
      <c r="A55">
        <v>1140.0999999999999</v>
      </c>
      <c r="B55">
        <v>298</v>
      </c>
      <c r="C55" t="e">
        <f t="shared" ref="C55:T55" si="33">IF(C$23=0,0,C$23*C$6/C469)</f>
        <v>#DIV/0!</v>
      </c>
      <c r="D55">
        <f t="shared" si="33"/>
        <v>0</v>
      </c>
      <c r="E55" t="e">
        <f t="shared" si="33"/>
        <v>#DIV/0!</v>
      </c>
      <c r="F55" t="e">
        <f t="shared" si="33"/>
        <v>#DIV/0!</v>
      </c>
      <c r="G55" t="e">
        <f t="shared" si="33"/>
        <v>#DIV/0!</v>
      </c>
      <c r="H55">
        <f t="shared" si="33"/>
        <v>0</v>
      </c>
      <c r="I55" t="e">
        <f t="shared" si="33"/>
        <v>#DIV/0!</v>
      </c>
      <c r="J55">
        <f t="shared" si="33"/>
        <v>0</v>
      </c>
      <c r="K55" t="e">
        <f t="shared" si="33"/>
        <v>#DIV/0!</v>
      </c>
      <c r="L55">
        <f t="shared" si="33"/>
        <v>0</v>
      </c>
      <c r="M55">
        <f t="shared" si="33"/>
        <v>0</v>
      </c>
      <c r="N55">
        <f t="shared" si="33"/>
        <v>0</v>
      </c>
      <c r="O55">
        <f t="shared" si="33"/>
        <v>0</v>
      </c>
      <c r="P55">
        <f t="shared" si="33"/>
        <v>0</v>
      </c>
      <c r="Q55">
        <f t="shared" si="33"/>
        <v>0</v>
      </c>
      <c r="R55">
        <f t="shared" si="33"/>
        <v>0</v>
      </c>
      <c r="S55">
        <f t="shared" si="33"/>
        <v>0</v>
      </c>
      <c r="T55">
        <f t="shared" si="33"/>
        <v>0</v>
      </c>
      <c r="U55" t="e">
        <f t="shared" si="5"/>
        <v>#DIV/0!</v>
      </c>
    </row>
    <row r="56" spans="1:21" x14ac:dyDescent="0.2">
      <c r="A56">
        <v>1140.0999999999999</v>
      </c>
      <c r="B56">
        <f t="shared" ref="B56:B68" si="34">B55+50</f>
        <v>348</v>
      </c>
      <c r="C56" t="e">
        <f t="shared" ref="C56:T56" si="35">IF(C$23=0,0,C$23*C$6/C470)</f>
        <v>#DIV/0!</v>
      </c>
      <c r="D56">
        <f t="shared" si="35"/>
        <v>0</v>
      </c>
      <c r="E56" t="e">
        <f t="shared" si="35"/>
        <v>#DIV/0!</v>
      </c>
      <c r="F56" t="e">
        <f t="shared" si="35"/>
        <v>#DIV/0!</v>
      </c>
      <c r="G56" t="e">
        <f t="shared" si="35"/>
        <v>#DIV/0!</v>
      </c>
      <c r="H56">
        <f t="shared" si="35"/>
        <v>0</v>
      </c>
      <c r="I56" t="e">
        <f t="shared" si="35"/>
        <v>#DIV/0!</v>
      </c>
      <c r="J56">
        <f t="shared" si="35"/>
        <v>0</v>
      </c>
      <c r="K56" t="e">
        <f t="shared" si="35"/>
        <v>#DIV/0!</v>
      </c>
      <c r="L56">
        <f t="shared" si="35"/>
        <v>0</v>
      </c>
      <c r="M56">
        <f t="shared" si="35"/>
        <v>0</v>
      </c>
      <c r="N56">
        <f t="shared" si="35"/>
        <v>0</v>
      </c>
      <c r="O56">
        <f t="shared" si="35"/>
        <v>0</v>
      </c>
      <c r="P56">
        <f t="shared" si="35"/>
        <v>0</v>
      </c>
      <c r="Q56">
        <f t="shared" si="35"/>
        <v>0</v>
      </c>
      <c r="R56">
        <f t="shared" si="35"/>
        <v>0</v>
      </c>
      <c r="S56">
        <f t="shared" si="35"/>
        <v>0</v>
      </c>
      <c r="T56">
        <f t="shared" si="35"/>
        <v>0</v>
      </c>
      <c r="U56" t="e">
        <f t="shared" si="5"/>
        <v>#DIV/0!</v>
      </c>
    </row>
    <row r="57" spans="1:21" x14ac:dyDescent="0.2">
      <c r="A57">
        <v>1140.0999999999999</v>
      </c>
      <c r="B57">
        <f t="shared" si="34"/>
        <v>398</v>
      </c>
      <c r="C57" t="e">
        <f t="shared" ref="C57:T57" si="36">IF(C$23=0,0,C$23*C$6/C471)</f>
        <v>#DIV/0!</v>
      </c>
      <c r="D57">
        <f t="shared" si="36"/>
        <v>0</v>
      </c>
      <c r="E57" t="e">
        <f t="shared" si="36"/>
        <v>#DIV/0!</v>
      </c>
      <c r="F57" t="e">
        <f t="shared" si="36"/>
        <v>#DIV/0!</v>
      </c>
      <c r="G57" t="e">
        <f t="shared" si="36"/>
        <v>#DIV/0!</v>
      </c>
      <c r="H57">
        <f t="shared" si="36"/>
        <v>0</v>
      </c>
      <c r="I57" t="e">
        <f t="shared" si="36"/>
        <v>#DIV/0!</v>
      </c>
      <c r="J57">
        <f t="shared" si="36"/>
        <v>0</v>
      </c>
      <c r="K57" t="e">
        <f t="shared" si="36"/>
        <v>#DIV/0!</v>
      </c>
      <c r="L57">
        <f t="shared" si="36"/>
        <v>0</v>
      </c>
      <c r="M57">
        <f t="shared" si="36"/>
        <v>0</v>
      </c>
      <c r="N57">
        <f t="shared" si="36"/>
        <v>0</v>
      </c>
      <c r="O57">
        <f t="shared" si="36"/>
        <v>0</v>
      </c>
      <c r="P57">
        <f t="shared" si="36"/>
        <v>0</v>
      </c>
      <c r="Q57">
        <f t="shared" si="36"/>
        <v>0</v>
      </c>
      <c r="R57">
        <f t="shared" si="36"/>
        <v>0</v>
      </c>
      <c r="S57">
        <f t="shared" si="36"/>
        <v>0</v>
      </c>
      <c r="T57">
        <f t="shared" si="36"/>
        <v>0</v>
      </c>
      <c r="U57" t="e">
        <f t="shared" si="5"/>
        <v>#DIV/0!</v>
      </c>
    </row>
    <row r="58" spans="1:21" x14ac:dyDescent="0.2">
      <c r="A58">
        <v>1140.0999999999999</v>
      </c>
      <c r="B58">
        <f t="shared" si="34"/>
        <v>448</v>
      </c>
      <c r="C58" t="e">
        <f t="shared" ref="C58:T58" si="37">IF(C$23=0,0,C$23*C$6/C472)</f>
        <v>#DIV/0!</v>
      </c>
      <c r="D58">
        <f t="shared" si="37"/>
        <v>0</v>
      </c>
      <c r="E58" t="e">
        <f t="shared" si="37"/>
        <v>#DIV/0!</v>
      </c>
      <c r="F58" t="e">
        <f t="shared" si="37"/>
        <v>#DIV/0!</v>
      </c>
      <c r="G58" t="e">
        <f t="shared" si="37"/>
        <v>#DIV/0!</v>
      </c>
      <c r="H58">
        <f t="shared" si="37"/>
        <v>0</v>
      </c>
      <c r="I58" t="e">
        <f t="shared" si="37"/>
        <v>#DIV/0!</v>
      </c>
      <c r="J58">
        <f t="shared" si="37"/>
        <v>0</v>
      </c>
      <c r="K58" t="e">
        <f t="shared" si="37"/>
        <v>#DIV/0!</v>
      </c>
      <c r="L58">
        <f t="shared" si="37"/>
        <v>0</v>
      </c>
      <c r="M58">
        <f t="shared" si="37"/>
        <v>0</v>
      </c>
      <c r="N58">
        <f t="shared" si="37"/>
        <v>0</v>
      </c>
      <c r="O58">
        <f t="shared" si="37"/>
        <v>0</v>
      </c>
      <c r="P58">
        <f t="shared" si="37"/>
        <v>0</v>
      </c>
      <c r="Q58">
        <f t="shared" si="37"/>
        <v>0</v>
      </c>
      <c r="R58">
        <f t="shared" si="37"/>
        <v>0</v>
      </c>
      <c r="S58">
        <f t="shared" si="37"/>
        <v>0</v>
      </c>
      <c r="T58">
        <f t="shared" si="37"/>
        <v>0</v>
      </c>
      <c r="U58" t="e">
        <f t="shared" si="5"/>
        <v>#DIV/0!</v>
      </c>
    </row>
    <row r="59" spans="1:21" x14ac:dyDescent="0.2">
      <c r="A59">
        <v>1140.0999999999999</v>
      </c>
      <c r="B59">
        <f t="shared" si="34"/>
        <v>498</v>
      </c>
      <c r="C59" t="e">
        <f t="shared" ref="C59:T59" si="38">IF(C$23=0,0,C$23*C$6/C473)</f>
        <v>#DIV/0!</v>
      </c>
      <c r="D59">
        <f t="shared" si="38"/>
        <v>0</v>
      </c>
      <c r="E59" t="e">
        <f t="shared" si="38"/>
        <v>#DIV/0!</v>
      </c>
      <c r="F59" t="e">
        <f t="shared" si="38"/>
        <v>#DIV/0!</v>
      </c>
      <c r="G59" t="e">
        <f t="shared" si="38"/>
        <v>#DIV/0!</v>
      </c>
      <c r="H59">
        <f t="shared" si="38"/>
        <v>0</v>
      </c>
      <c r="I59" t="e">
        <f t="shared" si="38"/>
        <v>#DIV/0!</v>
      </c>
      <c r="J59">
        <f t="shared" si="38"/>
        <v>0</v>
      </c>
      <c r="K59" t="e">
        <f t="shared" si="38"/>
        <v>#DIV/0!</v>
      </c>
      <c r="L59">
        <f t="shared" si="38"/>
        <v>0</v>
      </c>
      <c r="M59">
        <f t="shared" si="38"/>
        <v>0</v>
      </c>
      <c r="N59">
        <f t="shared" si="38"/>
        <v>0</v>
      </c>
      <c r="O59">
        <f t="shared" si="38"/>
        <v>0</v>
      </c>
      <c r="P59">
        <f t="shared" si="38"/>
        <v>0</v>
      </c>
      <c r="Q59">
        <f t="shared" si="38"/>
        <v>0</v>
      </c>
      <c r="R59">
        <f t="shared" si="38"/>
        <v>0</v>
      </c>
      <c r="S59">
        <f t="shared" si="38"/>
        <v>0</v>
      </c>
      <c r="T59">
        <f t="shared" si="38"/>
        <v>0</v>
      </c>
      <c r="U59" t="e">
        <f t="shared" si="5"/>
        <v>#DIV/0!</v>
      </c>
    </row>
    <row r="60" spans="1:21" x14ac:dyDescent="0.2">
      <c r="A60">
        <v>1140.0999999999999</v>
      </c>
      <c r="B60">
        <f t="shared" si="34"/>
        <v>548</v>
      </c>
      <c r="C60" t="e">
        <f t="shared" ref="C60:T60" si="39">IF(C$23=0,0,C$23*C$6/C474)</f>
        <v>#DIV/0!</v>
      </c>
      <c r="D60">
        <f t="shared" si="39"/>
        <v>0</v>
      </c>
      <c r="E60" t="e">
        <f t="shared" si="39"/>
        <v>#DIV/0!</v>
      </c>
      <c r="F60" t="e">
        <f t="shared" si="39"/>
        <v>#DIV/0!</v>
      </c>
      <c r="G60" t="e">
        <f t="shared" si="39"/>
        <v>#DIV/0!</v>
      </c>
      <c r="H60">
        <f t="shared" si="39"/>
        <v>0</v>
      </c>
      <c r="I60" t="e">
        <f t="shared" si="39"/>
        <v>#DIV/0!</v>
      </c>
      <c r="J60">
        <f t="shared" si="39"/>
        <v>0</v>
      </c>
      <c r="K60" t="e">
        <f t="shared" si="39"/>
        <v>#DIV/0!</v>
      </c>
      <c r="L60">
        <f t="shared" si="39"/>
        <v>0</v>
      </c>
      <c r="M60">
        <f t="shared" si="39"/>
        <v>0</v>
      </c>
      <c r="N60">
        <f t="shared" si="39"/>
        <v>0</v>
      </c>
      <c r="O60">
        <f t="shared" si="39"/>
        <v>0</v>
      </c>
      <c r="P60">
        <f t="shared" si="39"/>
        <v>0</v>
      </c>
      <c r="Q60">
        <f t="shared" si="39"/>
        <v>0</v>
      </c>
      <c r="R60">
        <f t="shared" si="39"/>
        <v>0</v>
      </c>
      <c r="S60">
        <f t="shared" si="39"/>
        <v>0</v>
      </c>
      <c r="T60">
        <f t="shared" si="39"/>
        <v>0</v>
      </c>
      <c r="U60" t="e">
        <f t="shared" si="5"/>
        <v>#DIV/0!</v>
      </c>
    </row>
    <row r="61" spans="1:21" x14ac:dyDescent="0.2">
      <c r="A61">
        <v>1140.0999999999999</v>
      </c>
      <c r="B61">
        <f t="shared" si="34"/>
        <v>598</v>
      </c>
      <c r="C61" t="e">
        <f t="shared" ref="C61:T61" si="40">IF(C$23=0,0,C$23*C$6/C475)</f>
        <v>#DIV/0!</v>
      </c>
      <c r="D61">
        <f t="shared" si="40"/>
        <v>0</v>
      </c>
      <c r="E61" t="e">
        <f t="shared" si="40"/>
        <v>#DIV/0!</v>
      </c>
      <c r="F61" t="e">
        <f t="shared" si="40"/>
        <v>#DIV/0!</v>
      </c>
      <c r="G61" t="e">
        <f t="shared" si="40"/>
        <v>#DIV/0!</v>
      </c>
      <c r="H61">
        <f t="shared" si="40"/>
        <v>0</v>
      </c>
      <c r="I61" t="e">
        <f t="shared" si="40"/>
        <v>#DIV/0!</v>
      </c>
      <c r="J61">
        <f t="shared" si="40"/>
        <v>0</v>
      </c>
      <c r="K61" t="e">
        <f t="shared" si="40"/>
        <v>#DIV/0!</v>
      </c>
      <c r="L61">
        <f t="shared" si="40"/>
        <v>0</v>
      </c>
      <c r="M61">
        <f t="shared" si="40"/>
        <v>0</v>
      </c>
      <c r="N61">
        <f t="shared" si="40"/>
        <v>0</v>
      </c>
      <c r="O61">
        <f t="shared" si="40"/>
        <v>0</v>
      </c>
      <c r="P61">
        <f t="shared" si="40"/>
        <v>0</v>
      </c>
      <c r="Q61">
        <f t="shared" si="40"/>
        <v>0</v>
      </c>
      <c r="R61">
        <f t="shared" si="40"/>
        <v>0</v>
      </c>
      <c r="S61">
        <f t="shared" si="40"/>
        <v>0</v>
      </c>
      <c r="T61">
        <f t="shared" si="40"/>
        <v>0</v>
      </c>
      <c r="U61" t="e">
        <f t="shared" si="5"/>
        <v>#DIV/0!</v>
      </c>
    </row>
    <row r="62" spans="1:21" x14ac:dyDescent="0.2">
      <c r="A62">
        <v>1140.0999999999999</v>
      </c>
      <c r="B62">
        <f t="shared" si="34"/>
        <v>648</v>
      </c>
      <c r="C62" t="e">
        <f t="shared" ref="C62:T62" si="41">IF(C$23=0,0,C$23*C$6/C476)</f>
        <v>#DIV/0!</v>
      </c>
      <c r="D62">
        <f t="shared" si="41"/>
        <v>0</v>
      </c>
      <c r="E62" t="e">
        <f t="shared" si="41"/>
        <v>#DIV/0!</v>
      </c>
      <c r="F62" t="e">
        <f t="shared" si="41"/>
        <v>#DIV/0!</v>
      </c>
      <c r="G62" t="e">
        <f t="shared" si="41"/>
        <v>#DIV/0!</v>
      </c>
      <c r="H62">
        <f t="shared" si="41"/>
        <v>0</v>
      </c>
      <c r="I62" t="e">
        <f t="shared" si="41"/>
        <v>#DIV/0!</v>
      </c>
      <c r="J62">
        <f t="shared" si="41"/>
        <v>0</v>
      </c>
      <c r="K62" t="e">
        <f t="shared" si="41"/>
        <v>#DIV/0!</v>
      </c>
      <c r="L62">
        <f t="shared" si="41"/>
        <v>0</v>
      </c>
      <c r="M62">
        <f t="shared" si="41"/>
        <v>0</v>
      </c>
      <c r="N62">
        <f t="shared" si="41"/>
        <v>0</v>
      </c>
      <c r="O62">
        <f t="shared" si="41"/>
        <v>0</v>
      </c>
      <c r="P62">
        <f t="shared" si="41"/>
        <v>0</v>
      </c>
      <c r="Q62">
        <f t="shared" si="41"/>
        <v>0</v>
      </c>
      <c r="R62">
        <f t="shared" si="41"/>
        <v>0</v>
      </c>
      <c r="S62">
        <f t="shared" si="41"/>
        <v>0</v>
      </c>
      <c r="T62">
        <f t="shared" si="41"/>
        <v>0</v>
      </c>
      <c r="U62" t="e">
        <f t="shared" si="5"/>
        <v>#DIV/0!</v>
      </c>
    </row>
    <row r="63" spans="1:21" x14ac:dyDescent="0.2">
      <c r="A63">
        <v>1140.0999999999999</v>
      </c>
      <c r="B63">
        <f t="shared" si="34"/>
        <v>698</v>
      </c>
      <c r="C63" t="e">
        <f t="shared" ref="C63:T63" si="42">IF(C$23=0,0,C$23*C$6/C477)</f>
        <v>#DIV/0!</v>
      </c>
      <c r="D63">
        <f t="shared" si="42"/>
        <v>0</v>
      </c>
      <c r="E63" t="e">
        <f t="shared" si="42"/>
        <v>#DIV/0!</v>
      </c>
      <c r="F63" t="e">
        <f t="shared" si="42"/>
        <v>#DIV/0!</v>
      </c>
      <c r="G63" t="e">
        <f t="shared" si="42"/>
        <v>#DIV/0!</v>
      </c>
      <c r="H63">
        <f t="shared" si="42"/>
        <v>0</v>
      </c>
      <c r="I63" t="e">
        <f t="shared" si="42"/>
        <v>#DIV/0!</v>
      </c>
      <c r="J63">
        <f t="shared" si="42"/>
        <v>0</v>
      </c>
      <c r="K63" t="e">
        <f t="shared" si="42"/>
        <v>#DIV/0!</v>
      </c>
      <c r="L63">
        <f t="shared" si="42"/>
        <v>0</v>
      </c>
      <c r="M63">
        <f t="shared" si="42"/>
        <v>0</v>
      </c>
      <c r="N63">
        <f t="shared" si="42"/>
        <v>0</v>
      </c>
      <c r="O63">
        <f t="shared" si="42"/>
        <v>0</v>
      </c>
      <c r="P63">
        <f t="shared" si="42"/>
        <v>0</v>
      </c>
      <c r="Q63">
        <f t="shared" si="42"/>
        <v>0</v>
      </c>
      <c r="R63">
        <f t="shared" si="42"/>
        <v>0</v>
      </c>
      <c r="S63">
        <f t="shared" si="42"/>
        <v>0</v>
      </c>
      <c r="T63">
        <f t="shared" si="42"/>
        <v>0</v>
      </c>
      <c r="U63" t="e">
        <f t="shared" si="5"/>
        <v>#DIV/0!</v>
      </c>
    </row>
    <row r="64" spans="1:21" x14ac:dyDescent="0.2">
      <c r="A64">
        <v>1140.0999999999999</v>
      </c>
      <c r="B64">
        <f t="shared" si="34"/>
        <v>748</v>
      </c>
      <c r="C64" t="e">
        <f t="shared" ref="C64:T64" si="43">IF(C$23=0,0,C$23*C$6/C478)</f>
        <v>#DIV/0!</v>
      </c>
      <c r="D64">
        <f t="shared" si="43"/>
        <v>0</v>
      </c>
      <c r="E64" t="e">
        <f t="shared" si="43"/>
        <v>#DIV/0!</v>
      </c>
      <c r="F64" t="e">
        <f t="shared" si="43"/>
        <v>#DIV/0!</v>
      </c>
      <c r="G64" t="e">
        <f t="shared" si="43"/>
        <v>#DIV/0!</v>
      </c>
      <c r="H64">
        <f t="shared" si="43"/>
        <v>0</v>
      </c>
      <c r="I64" t="e">
        <f t="shared" si="43"/>
        <v>#DIV/0!</v>
      </c>
      <c r="J64">
        <f t="shared" si="43"/>
        <v>0</v>
      </c>
      <c r="K64" t="e">
        <f t="shared" si="43"/>
        <v>#DIV/0!</v>
      </c>
      <c r="L64">
        <f t="shared" si="43"/>
        <v>0</v>
      </c>
      <c r="M64">
        <f t="shared" si="43"/>
        <v>0</v>
      </c>
      <c r="N64">
        <f t="shared" si="43"/>
        <v>0</v>
      </c>
      <c r="O64">
        <f t="shared" si="43"/>
        <v>0</v>
      </c>
      <c r="P64">
        <f t="shared" si="43"/>
        <v>0</v>
      </c>
      <c r="Q64">
        <f t="shared" si="43"/>
        <v>0</v>
      </c>
      <c r="R64">
        <f t="shared" si="43"/>
        <v>0</v>
      </c>
      <c r="S64">
        <f t="shared" si="43"/>
        <v>0</v>
      </c>
      <c r="T64">
        <f t="shared" si="43"/>
        <v>0</v>
      </c>
      <c r="U64" t="e">
        <f t="shared" si="5"/>
        <v>#DIV/0!</v>
      </c>
    </row>
    <row r="65" spans="1:21" x14ac:dyDescent="0.2">
      <c r="A65">
        <v>1140.0999999999999</v>
      </c>
      <c r="B65">
        <f t="shared" si="34"/>
        <v>798</v>
      </c>
      <c r="C65" t="e">
        <f t="shared" ref="C65:T65" si="44">IF(C$23=0,0,C$23*C$6/C479)</f>
        <v>#DIV/0!</v>
      </c>
      <c r="D65">
        <f t="shared" si="44"/>
        <v>0</v>
      </c>
      <c r="E65" t="e">
        <f t="shared" si="44"/>
        <v>#DIV/0!</v>
      </c>
      <c r="F65" t="e">
        <f t="shared" si="44"/>
        <v>#DIV/0!</v>
      </c>
      <c r="G65" t="e">
        <f t="shared" si="44"/>
        <v>#DIV/0!</v>
      </c>
      <c r="H65">
        <f t="shared" si="44"/>
        <v>0</v>
      </c>
      <c r="I65" t="e">
        <f t="shared" si="44"/>
        <v>#DIV/0!</v>
      </c>
      <c r="J65">
        <f t="shared" si="44"/>
        <v>0</v>
      </c>
      <c r="K65" t="e">
        <f t="shared" si="44"/>
        <v>#DIV/0!</v>
      </c>
      <c r="L65">
        <f t="shared" si="44"/>
        <v>0</v>
      </c>
      <c r="M65">
        <f t="shared" si="44"/>
        <v>0</v>
      </c>
      <c r="N65">
        <f t="shared" si="44"/>
        <v>0</v>
      </c>
      <c r="O65">
        <f t="shared" si="44"/>
        <v>0</v>
      </c>
      <c r="P65">
        <f t="shared" si="44"/>
        <v>0</v>
      </c>
      <c r="Q65">
        <f t="shared" si="44"/>
        <v>0</v>
      </c>
      <c r="R65">
        <f t="shared" si="44"/>
        <v>0</v>
      </c>
      <c r="S65">
        <f t="shared" si="44"/>
        <v>0</v>
      </c>
      <c r="T65">
        <f t="shared" si="44"/>
        <v>0</v>
      </c>
      <c r="U65" t="e">
        <f t="shared" si="5"/>
        <v>#DIV/0!</v>
      </c>
    </row>
    <row r="66" spans="1:21" x14ac:dyDescent="0.2">
      <c r="A66">
        <v>1140.0999999999999</v>
      </c>
      <c r="B66">
        <f t="shared" si="34"/>
        <v>848</v>
      </c>
      <c r="C66" t="e">
        <f t="shared" ref="C66:T66" si="45">IF(C$23=0,0,C$23*C$6/C480)</f>
        <v>#DIV/0!</v>
      </c>
      <c r="D66">
        <f t="shared" si="45"/>
        <v>0</v>
      </c>
      <c r="E66" t="e">
        <f t="shared" si="45"/>
        <v>#DIV/0!</v>
      </c>
      <c r="F66" t="e">
        <f t="shared" si="45"/>
        <v>#DIV/0!</v>
      </c>
      <c r="G66" t="e">
        <f t="shared" si="45"/>
        <v>#DIV/0!</v>
      </c>
      <c r="H66">
        <f t="shared" si="45"/>
        <v>0</v>
      </c>
      <c r="I66" t="e">
        <f t="shared" si="45"/>
        <v>#DIV/0!</v>
      </c>
      <c r="J66">
        <f t="shared" si="45"/>
        <v>0</v>
      </c>
      <c r="K66" t="e">
        <f t="shared" si="45"/>
        <v>#DIV/0!</v>
      </c>
      <c r="L66">
        <f t="shared" si="45"/>
        <v>0</v>
      </c>
      <c r="M66">
        <f t="shared" si="45"/>
        <v>0</v>
      </c>
      <c r="N66">
        <f t="shared" si="45"/>
        <v>0</v>
      </c>
      <c r="O66">
        <f t="shared" si="45"/>
        <v>0</v>
      </c>
      <c r="P66">
        <f t="shared" si="45"/>
        <v>0</v>
      </c>
      <c r="Q66">
        <f t="shared" si="45"/>
        <v>0</v>
      </c>
      <c r="R66">
        <f t="shared" si="45"/>
        <v>0</v>
      </c>
      <c r="S66">
        <f t="shared" si="45"/>
        <v>0</v>
      </c>
      <c r="T66">
        <f t="shared" si="45"/>
        <v>0</v>
      </c>
      <c r="U66" t="e">
        <f t="shared" si="5"/>
        <v>#DIV/0!</v>
      </c>
    </row>
    <row r="67" spans="1:21" x14ac:dyDescent="0.2">
      <c r="A67">
        <v>1140.0999999999999</v>
      </c>
      <c r="B67">
        <f t="shared" si="34"/>
        <v>898</v>
      </c>
      <c r="C67" t="e">
        <f t="shared" ref="C67:T67" si="46">IF(C$23=0,0,C$23*C$6/C481)</f>
        <v>#DIV/0!</v>
      </c>
      <c r="D67">
        <f t="shared" si="46"/>
        <v>0</v>
      </c>
      <c r="E67" t="e">
        <f t="shared" si="46"/>
        <v>#DIV/0!</v>
      </c>
      <c r="F67" t="e">
        <f t="shared" si="46"/>
        <v>#DIV/0!</v>
      </c>
      <c r="G67" t="e">
        <f t="shared" si="46"/>
        <v>#DIV/0!</v>
      </c>
      <c r="H67">
        <f t="shared" si="46"/>
        <v>0</v>
      </c>
      <c r="I67" t="e">
        <f t="shared" si="46"/>
        <v>#DIV/0!</v>
      </c>
      <c r="J67">
        <f t="shared" si="46"/>
        <v>0</v>
      </c>
      <c r="K67" t="e">
        <f t="shared" si="46"/>
        <v>#DIV/0!</v>
      </c>
      <c r="L67">
        <f t="shared" si="46"/>
        <v>0</v>
      </c>
      <c r="M67">
        <f t="shared" si="46"/>
        <v>0</v>
      </c>
      <c r="N67">
        <f t="shared" si="46"/>
        <v>0</v>
      </c>
      <c r="O67">
        <f t="shared" si="46"/>
        <v>0</v>
      </c>
      <c r="P67">
        <f t="shared" si="46"/>
        <v>0</v>
      </c>
      <c r="Q67">
        <f t="shared" si="46"/>
        <v>0</v>
      </c>
      <c r="R67">
        <f t="shared" si="46"/>
        <v>0</v>
      </c>
      <c r="S67">
        <f t="shared" si="46"/>
        <v>0</v>
      </c>
      <c r="T67">
        <f t="shared" si="46"/>
        <v>0</v>
      </c>
      <c r="U67" t="e">
        <f t="shared" si="5"/>
        <v>#DIV/0!</v>
      </c>
    </row>
    <row r="68" spans="1:21" x14ac:dyDescent="0.2">
      <c r="A68">
        <v>1140.0999999999999</v>
      </c>
      <c r="B68">
        <f t="shared" si="34"/>
        <v>948</v>
      </c>
      <c r="C68" t="e">
        <f t="shared" ref="C68:T68" si="47">IF(C$23=0,0,C$23*C$6/C482)</f>
        <v>#DIV/0!</v>
      </c>
      <c r="D68">
        <f t="shared" si="47"/>
        <v>0</v>
      </c>
      <c r="E68" t="e">
        <f t="shared" si="47"/>
        <v>#DIV/0!</v>
      </c>
      <c r="F68" t="e">
        <f t="shared" si="47"/>
        <v>#DIV/0!</v>
      </c>
      <c r="G68" t="e">
        <f t="shared" si="47"/>
        <v>#DIV/0!</v>
      </c>
      <c r="H68">
        <f t="shared" si="47"/>
        <v>0</v>
      </c>
      <c r="I68" t="e">
        <f t="shared" si="47"/>
        <v>#DIV/0!</v>
      </c>
      <c r="J68">
        <f t="shared" si="47"/>
        <v>0</v>
      </c>
      <c r="K68" t="e">
        <f t="shared" si="47"/>
        <v>#DIV/0!</v>
      </c>
      <c r="L68">
        <f t="shared" si="47"/>
        <v>0</v>
      </c>
      <c r="M68">
        <f t="shared" si="47"/>
        <v>0</v>
      </c>
      <c r="N68">
        <f t="shared" si="47"/>
        <v>0</v>
      </c>
      <c r="O68">
        <f t="shared" si="47"/>
        <v>0</v>
      </c>
      <c r="P68">
        <f t="shared" si="47"/>
        <v>0</v>
      </c>
      <c r="Q68">
        <f t="shared" si="47"/>
        <v>0</v>
      </c>
      <c r="R68">
        <f t="shared" si="47"/>
        <v>0</v>
      </c>
      <c r="S68">
        <f t="shared" si="47"/>
        <v>0</v>
      </c>
      <c r="T68">
        <f t="shared" si="47"/>
        <v>0</v>
      </c>
      <c r="U68" t="e">
        <f t="shared" si="5"/>
        <v>#DIV/0!</v>
      </c>
    </row>
    <row r="69" spans="1:21" x14ac:dyDescent="0.2">
      <c r="A69">
        <v>1711.1</v>
      </c>
      <c r="B69">
        <v>298</v>
      </c>
      <c r="C69" t="e">
        <f t="shared" ref="C69:T69" si="48">IF(C$23=0,0,C$23*C$6/C483)</f>
        <v>#DIV/0!</v>
      </c>
      <c r="D69">
        <f t="shared" si="48"/>
        <v>0</v>
      </c>
      <c r="E69" t="e">
        <f t="shared" si="48"/>
        <v>#DIV/0!</v>
      </c>
      <c r="F69" t="e">
        <f t="shared" si="48"/>
        <v>#DIV/0!</v>
      </c>
      <c r="G69" t="e">
        <f t="shared" si="48"/>
        <v>#DIV/0!</v>
      </c>
      <c r="H69">
        <f t="shared" si="48"/>
        <v>0</v>
      </c>
      <c r="I69" t="e">
        <f t="shared" si="48"/>
        <v>#DIV/0!</v>
      </c>
      <c r="J69">
        <f t="shared" si="48"/>
        <v>0</v>
      </c>
      <c r="K69" t="e">
        <f t="shared" si="48"/>
        <v>#DIV/0!</v>
      </c>
      <c r="L69">
        <f t="shared" si="48"/>
        <v>0</v>
      </c>
      <c r="M69">
        <f t="shared" si="48"/>
        <v>0</v>
      </c>
      <c r="N69">
        <f t="shared" si="48"/>
        <v>0</v>
      </c>
      <c r="O69">
        <f t="shared" si="48"/>
        <v>0</v>
      </c>
      <c r="P69">
        <f t="shared" si="48"/>
        <v>0</v>
      </c>
      <c r="Q69">
        <f t="shared" si="48"/>
        <v>0</v>
      </c>
      <c r="R69">
        <f t="shared" si="48"/>
        <v>0</v>
      </c>
      <c r="S69">
        <f t="shared" si="48"/>
        <v>0</v>
      </c>
      <c r="T69">
        <f t="shared" si="48"/>
        <v>0</v>
      </c>
      <c r="U69" t="e">
        <f t="shared" si="5"/>
        <v>#DIV/0!</v>
      </c>
    </row>
    <row r="70" spans="1:21" x14ac:dyDescent="0.2">
      <c r="A70">
        <v>1711.1</v>
      </c>
      <c r="B70">
        <f t="shared" ref="B70:B82" si="49">B69+50</f>
        <v>348</v>
      </c>
      <c r="C70" t="e">
        <f t="shared" ref="C70:T70" si="50">IF(C$23=0,0,C$23*C$6/C484)</f>
        <v>#DIV/0!</v>
      </c>
      <c r="D70">
        <f t="shared" si="50"/>
        <v>0</v>
      </c>
      <c r="E70" t="e">
        <f t="shared" si="50"/>
        <v>#DIV/0!</v>
      </c>
      <c r="F70" t="e">
        <f t="shared" si="50"/>
        <v>#DIV/0!</v>
      </c>
      <c r="G70" t="e">
        <f t="shared" si="50"/>
        <v>#DIV/0!</v>
      </c>
      <c r="H70">
        <f t="shared" si="50"/>
        <v>0</v>
      </c>
      <c r="I70" t="e">
        <f t="shared" si="50"/>
        <v>#DIV/0!</v>
      </c>
      <c r="J70">
        <f t="shared" si="50"/>
        <v>0</v>
      </c>
      <c r="K70" t="e">
        <f t="shared" si="50"/>
        <v>#DIV/0!</v>
      </c>
      <c r="L70">
        <f t="shared" si="50"/>
        <v>0</v>
      </c>
      <c r="M70">
        <f t="shared" si="50"/>
        <v>0</v>
      </c>
      <c r="N70">
        <f t="shared" si="50"/>
        <v>0</v>
      </c>
      <c r="O70">
        <f t="shared" si="50"/>
        <v>0</v>
      </c>
      <c r="P70">
        <f t="shared" si="50"/>
        <v>0</v>
      </c>
      <c r="Q70">
        <f t="shared" si="50"/>
        <v>0</v>
      </c>
      <c r="R70">
        <f t="shared" si="50"/>
        <v>0</v>
      </c>
      <c r="S70">
        <f t="shared" si="50"/>
        <v>0</v>
      </c>
      <c r="T70">
        <f t="shared" si="50"/>
        <v>0</v>
      </c>
      <c r="U70" t="e">
        <f t="shared" si="5"/>
        <v>#DIV/0!</v>
      </c>
    </row>
    <row r="71" spans="1:21" x14ac:dyDescent="0.2">
      <c r="A71">
        <v>1711.1</v>
      </c>
      <c r="B71">
        <f t="shared" si="49"/>
        <v>398</v>
      </c>
      <c r="C71" t="e">
        <f t="shared" ref="C71:T71" si="51">IF(C$23=0,0,C$23*C$6/C485)</f>
        <v>#DIV/0!</v>
      </c>
      <c r="D71">
        <f t="shared" si="51"/>
        <v>0</v>
      </c>
      <c r="E71" t="e">
        <f t="shared" si="51"/>
        <v>#DIV/0!</v>
      </c>
      <c r="F71" t="e">
        <f t="shared" si="51"/>
        <v>#DIV/0!</v>
      </c>
      <c r="G71" t="e">
        <f t="shared" si="51"/>
        <v>#DIV/0!</v>
      </c>
      <c r="H71">
        <f t="shared" si="51"/>
        <v>0</v>
      </c>
      <c r="I71" t="e">
        <f t="shared" si="51"/>
        <v>#DIV/0!</v>
      </c>
      <c r="J71">
        <f t="shared" si="51"/>
        <v>0</v>
      </c>
      <c r="K71" t="e">
        <f t="shared" si="51"/>
        <v>#DIV/0!</v>
      </c>
      <c r="L71">
        <f t="shared" si="51"/>
        <v>0</v>
      </c>
      <c r="M71">
        <f t="shared" si="51"/>
        <v>0</v>
      </c>
      <c r="N71">
        <f t="shared" si="51"/>
        <v>0</v>
      </c>
      <c r="O71">
        <f t="shared" si="51"/>
        <v>0</v>
      </c>
      <c r="P71">
        <f t="shared" si="51"/>
        <v>0</v>
      </c>
      <c r="Q71">
        <f t="shared" si="51"/>
        <v>0</v>
      </c>
      <c r="R71">
        <f t="shared" si="51"/>
        <v>0</v>
      </c>
      <c r="S71">
        <f t="shared" si="51"/>
        <v>0</v>
      </c>
      <c r="T71">
        <f t="shared" si="51"/>
        <v>0</v>
      </c>
      <c r="U71" t="e">
        <f t="shared" si="5"/>
        <v>#DIV/0!</v>
      </c>
    </row>
    <row r="72" spans="1:21" x14ac:dyDescent="0.2">
      <c r="A72">
        <v>1711.1</v>
      </c>
      <c r="B72">
        <f t="shared" si="49"/>
        <v>448</v>
      </c>
      <c r="C72" t="e">
        <f t="shared" ref="C72:T72" si="52">IF(C$23=0,0,C$23*C$6/C486)</f>
        <v>#DIV/0!</v>
      </c>
      <c r="D72">
        <f t="shared" si="52"/>
        <v>0</v>
      </c>
      <c r="E72" t="e">
        <f t="shared" si="52"/>
        <v>#DIV/0!</v>
      </c>
      <c r="F72" t="e">
        <f t="shared" si="52"/>
        <v>#DIV/0!</v>
      </c>
      <c r="G72" t="e">
        <f t="shared" si="52"/>
        <v>#DIV/0!</v>
      </c>
      <c r="H72">
        <f t="shared" si="52"/>
        <v>0</v>
      </c>
      <c r="I72" t="e">
        <f t="shared" si="52"/>
        <v>#DIV/0!</v>
      </c>
      <c r="J72">
        <f t="shared" si="52"/>
        <v>0</v>
      </c>
      <c r="K72" t="e">
        <f t="shared" si="52"/>
        <v>#DIV/0!</v>
      </c>
      <c r="L72">
        <f t="shared" si="52"/>
        <v>0</v>
      </c>
      <c r="M72">
        <f t="shared" si="52"/>
        <v>0</v>
      </c>
      <c r="N72">
        <f t="shared" si="52"/>
        <v>0</v>
      </c>
      <c r="O72">
        <f t="shared" si="52"/>
        <v>0</v>
      </c>
      <c r="P72">
        <f t="shared" si="52"/>
        <v>0</v>
      </c>
      <c r="Q72">
        <f t="shared" si="52"/>
        <v>0</v>
      </c>
      <c r="R72">
        <f t="shared" si="52"/>
        <v>0</v>
      </c>
      <c r="S72">
        <f t="shared" si="52"/>
        <v>0</v>
      </c>
      <c r="T72">
        <f t="shared" si="52"/>
        <v>0</v>
      </c>
      <c r="U72" t="e">
        <f t="shared" si="5"/>
        <v>#DIV/0!</v>
      </c>
    </row>
    <row r="73" spans="1:21" x14ac:dyDescent="0.2">
      <c r="A73">
        <v>1711.1</v>
      </c>
      <c r="B73">
        <f t="shared" si="49"/>
        <v>498</v>
      </c>
      <c r="C73" t="e">
        <f t="shared" ref="C73:T73" si="53">IF(C$23=0,0,C$23*C$6/C487)</f>
        <v>#DIV/0!</v>
      </c>
      <c r="D73">
        <f t="shared" si="53"/>
        <v>0</v>
      </c>
      <c r="E73" t="e">
        <f t="shared" si="53"/>
        <v>#DIV/0!</v>
      </c>
      <c r="F73" t="e">
        <f t="shared" si="53"/>
        <v>#DIV/0!</v>
      </c>
      <c r="G73" t="e">
        <f t="shared" si="53"/>
        <v>#DIV/0!</v>
      </c>
      <c r="H73">
        <f t="shared" si="53"/>
        <v>0</v>
      </c>
      <c r="I73" t="e">
        <f t="shared" si="53"/>
        <v>#DIV/0!</v>
      </c>
      <c r="J73">
        <f t="shared" si="53"/>
        <v>0</v>
      </c>
      <c r="K73" t="e">
        <f t="shared" si="53"/>
        <v>#DIV/0!</v>
      </c>
      <c r="L73">
        <f t="shared" si="53"/>
        <v>0</v>
      </c>
      <c r="M73">
        <f t="shared" si="53"/>
        <v>0</v>
      </c>
      <c r="N73">
        <f t="shared" si="53"/>
        <v>0</v>
      </c>
      <c r="O73">
        <f t="shared" si="53"/>
        <v>0</v>
      </c>
      <c r="P73">
        <f t="shared" si="53"/>
        <v>0</v>
      </c>
      <c r="Q73">
        <f t="shared" si="53"/>
        <v>0</v>
      </c>
      <c r="R73">
        <f t="shared" si="53"/>
        <v>0</v>
      </c>
      <c r="S73">
        <f t="shared" si="53"/>
        <v>0</v>
      </c>
      <c r="T73">
        <f t="shared" si="53"/>
        <v>0</v>
      </c>
      <c r="U73" t="e">
        <f t="shared" si="5"/>
        <v>#DIV/0!</v>
      </c>
    </row>
    <row r="74" spans="1:21" x14ac:dyDescent="0.2">
      <c r="A74">
        <v>1711.1</v>
      </c>
      <c r="B74">
        <f t="shared" si="49"/>
        <v>548</v>
      </c>
      <c r="C74" t="e">
        <f t="shared" ref="C74:T74" si="54">IF(C$23=0,0,C$23*C$6/C488)</f>
        <v>#DIV/0!</v>
      </c>
      <c r="D74">
        <f t="shared" si="54"/>
        <v>0</v>
      </c>
      <c r="E74" t="e">
        <f t="shared" si="54"/>
        <v>#DIV/0!</v>
      </c>
      <c r="F74" t="e">
        <f t="shared" si="54"/>
        <v>#DIV/0!</v>
      </c>
      <c r="G74" t="e">
        <f t="shared" si="54"/>
        <v>#DIV/0!</v>
      </c>
      <c r="H74">
        <f t="shared" si="54"/>
        <v>0</v>
      </c>
      <c r="I74" t="e">
        <f t="shared" si="54"/>
        <v>#DIV/0!</v>
      </c>
      <c r="J74">
        <f t="shared" si="54"/>
        <v>0</v>
      </c>
      <c r="K74" t="e">
        <f t="shared" si="54"/>
        <v>#DIV/0!</v>
      </c>
      <c r="L74">
        <f t="shared" si="54"/>
        <v>0</v>
      </c>
      <c r="M74">
        <f t="shared" si="54"/>
        <v>0</v>
      </c>
      <c r="N74">
        <f t="shared" si="54"/>
        <v>0</v>
      </c>
      <c r="O74">
        <f t="shared" si="54"/>
        <v>0</v>
      </c>
      <c r="P74">
        <f t="shared" si="54"/>
        <v>0</v>
      </c>
      <c r="Q74">
        <f t="shared" si="54"/>
        <v>0</v>
      </c>
      <c r="R74">
        <f t="shared" si="54"/>
        <v>0</v>
      </c>
      <c r="S74">
        <f t="shared" si="54"/>
        <v>0</v>
      </c>
      <c r="T74">
        <f t="shared" si="54"/>
        <v>0</v>
      </c>
      <c r="U74" t="e">
        <f t="shared" si="5"/>
        <v>#DIV/0!</v>
      </c>
    </row>
    <row r="75" spans="1:21" x14ac:dyDescent="0.2">
      <c r="A75">
        <v>1711.1</v>
      </c>
      <c r="B75">
        <f t="shared" si="49"/>
        <v>598</v>
      </c>
      <c r="C75" t="e">
        <f t="shared" ref="C75:T75" si="55">IF(C$23=0,0,C$23*C$6/C489)</f>
        <v>#DIV/0!</v>
      </c>
      <c r="D75">
        <f t="shared" si="55"/>
        <v>0</v>
      </c>
      <c r="E75" t="e">
        <f t="shared" si="55"/>
        <v>#DIV/0!</v>
      </c>
      <c r="F75" t="e">
        <f t="shared" si="55"/>
        <v>#DIV/0!</v>
      </c>
      <c r="G75" t="e">
        <f t="shared" si="55"/>
        <v>#DIV/0!</v>
      </c>
      <c r="H75">
        <f t="shared" si="55"/>
        <v>0</v>
      </c>
      <c r="I75" t="e">
        <f t="shared" si="55"/>
        <v>#DIV/0!</v>
      </c>
      <c r="J75">
        <f t="shared" si="55"/>
        <v>0</v>
      </c>
      <c r="K75" t="e">
        <f t="shared" si="55"/>
        <v>#DIV/0!</v>
      </c>
      <c r="L75">
        <f t="shared" si="55"/>
        <v>0</v>
      </c>
      <c r="M75">
        <f t="shared" si="55"/>
        <v>0</v>
      </c>
      <c r="N75">
        <f t="shared" si="55"/>
        <v>0</v>
      </c>
      <c r="O75">
        <f t="shared" si="55"/>
        <v>0</v>
      </c>
      <c r="P75">
        <f t="shared" si="55"/>
        <v>0</v>
      </c>
      <c r="Q75">
        <f t="shared" si="55"/>
        <v>0</v>
      </c>
      <c r="R75">
        <f t="shared" si="55"/>
        <v>0</v>
      </c>
      <c r="S75">
        <f t="shared" si="55"/>
        <v>0</v>
      </c>
      <c r="T75">
        <f t="shared" si="55"/>
        <v>0</v>
      </c>
      <c r="U75" t="e">
        <f t="shared" si="5"/>
        <v>#DIV/0!</v>
      </c>
    </row>
    <row r="76" spans="1:21" x14ac:dyDescent="0.2">
      <c r="A76">
        <v>1711.1</v>
      </c>
      <c r="B76">
        <f t="shared" si="49"/>
        <v>648</v>
      </c>
      <c r="C76" t="e">
        <f t="shared" ref="C76:T76" si="56">IF(C$23=0,0,C$23*C$6/C490)</f>
        <v>#DIV/0!</v>
      </c>
      <c r="D76">
        <f t="shared" si="56"/>
        <v>0</v>
      </c>
      <c r="E76" t="e">
        <f t="shared" si="56"/>
        <v>#DIV/0!</v>
      </c>
      <c r="F76" t="e">
        <f t="shared" si="56"/>
        <v>#DIV/0!</v>
      </c>
      <c r="G76" t="e">
        <f t="shared" si="56"/>
        <v>#DIV/0!</v>
      </c>
      <c r="H76">
        <f t="shared" si="56"/>
        <v>0</v>
      </c>
      <c r="I76" t="e">
        <f t="shared" si="56"/>
        <v>#DIV/0!</v>
      </c>
      <c r="J76">
        <f t="shared" si="56"/>
        <v>0</v>
      </c>
      <c r="K76" t="e">
        <f t="shared" si="56"/>
        <v>#DIV/0!</v>
      </c>
      <c r="L76">
        <f t="shared" si="56"/>
        <v>0</v>
      </c>
      <c r="M76">
        <f t="shared" si="56"/>
        <v>0</v>
      </c>
      <c r="N76">
        <f t="shared" si="56"/>
        <v>0</v>
      </c>
      <c r="O76">
        <f t="shared" si="56"/>
        <v>0</v>
      </c>
      <c r="P76">
        <f t="shared" si="56"/>
        <v>0</v>
      </c>
      <c r="Q76">
        <f t="shared" si="56"/>
        <v>0</v>
      </c>
      <c r="R76">
        <f t="shared" si="56"/>
        <v>0</v>
      </c>
      <c r="S76">
        <f t="shared" si="56"/>
        <v>0</v>
      </c>
      <c r="T76">
        <f t="shared" si="56"/>
        <v>0</v>
      </c>
      <c r="U76" t="e">
        <f t="shared" si="5"/>
        <v>#DIV/0!</v>
      </c>
    </row>
    <row r="77" spans="1:21" x14ac:dyDescent="0.2">
      <c r="A77">
        <v>1711.1</v>
      </c>
      <c r="B77">
        <f t="shared" si="49"/>
        <v>698</v>
      </c>
      <c r="C77" t="e">
        <f t="shared" ref="C77:T77" si="57">IF(C$23=0,0,C$23*C$6/C491)</f>
        <v>#DIV/0!</v>
      </c>
      <c r="D77">
        <f t="shared" si="57"/>
        <v>0</v>
      </c>
      <c r="E77" t="e">
        <f t="shared" si="57"/>
        <v>#DIV/0!</v>
      </c>
      <c r="F77" t="e">
        <f t="shared" si="57"/>
        <v>#DIV/0!</v>
      </c>
      <c r="G77" t="e">
        <f t="shared" si="57"/>
        <v>#DIV/0!</v>
      </c>
      <c r="H77">
        <f t="shared" si="57"/>
        <v>0</v>
      </c>
      <c r="I77" t="e">
        <f t="shared" si="57"/>
        <v>#DIV/0!</v>
      </c>
      <c r="J77">
        <f t="shared" si="57"/>
        <v>0</v>
      </c>
      <c r="K77" t="e">
        <f t="shared" si="57"/>
        <v>#DIV/0!</v>
      </c>
      <c r="L77">
        <f t="shared" si="57"/>
        <v>0</v>
      </c>
      <c r="M77">
        <f t="shared" si="57"/>
        <v>0</v>
      </c>
      <c r="N77">
        <f t="shared" si="57"/>
        <v>0</v>
      </c>
      <c r="O77">
        <f t="shared" si="57"/>
        <v>0</v>
      </c>
      <c r="P77">
        <f t="shared" si="57"/>
        <v>0</v>
      </c>
      <c r="Q77">
        <f t="shared" si="57"/>
        <v>0</v>
      </c>
      <c r="R77">
        <f t="shared" si="57"/>
        <v>0</v>
      </c>
      <c r="S77">
        <f t="shared" si="57"/>
        <v>0</v>
      </c>
      <c r="T77">
        <f t="shared" si="57"/>
        <v>0</v>
      </c>
      <c r="U77" t="e">
        <f t="shared" si="5"/>
        <v>#DIV/0!</v>
      </c>
    </row>
    <row r="78" spans="1:21" x14ac:dyDescent="0.2">
      <c r="A78">
        <v>1711.1</v>
      </c>
      <c r="B78">
        <f t="shared" si="49"/>
        <v>748</v>
      </c>
      <c r="C78" t="e">
        <f t="shared" ref="C78:T78" si="58">IF(C$23=0,0,C$23*C$6/C492)</f>
        <v>#DIV/0!</v>
      </c>
      <c r="D78">
        <f t="shared" si="58"/>
        <v>0</v>
      </c>
      <c r="E78" t="e">
        <f t="shared" si="58"/>
        <v>#DIV/0!</v>
      </c>
      <c r="F78" t="e">
        <f t="shared" si="58"/>
        <v>#DIV/0!</v>
      </c>
      <c r="G78" t="e">
        <f t="shared" si="58"/>
        <v>#DIV/0!</v>
      </c>
      <c r="H78">
        <f t="shared" si="58"/>
        <v>0</v>
      </c>
      <c r="I78" t="e">
        <f t="shared" si="58"/>
        <v>#DIV/0!</v>
      </c>
      <c r="J78">
        <f t="shared" si="58"/>
        <v>0</v>
      </c>
      <c r="K78" t="e">
        <f t="shared" si="58"/>
        <v>#DIV/0!</v>
      </c>
      <c r="L78">
        <f t="shared" si="58"/>
        <v>0</v>
      </c>
      <c r="M78">
        <f t="shared" si="58"/>
        <v>0</v>
      </c>
      <c r="N78">
        <f t="shared" si="58"/>
        <v>0</v>
      </c>
      <c r="O78">
        <f t="shared" si="58"/>
        <v>0</v>
      </c>
      <c r="P78">
        <f t="shared" si="58"/>
        <v>0</v>
      </c>
      <c r="Q78">
        <f t="shared" si="58"/>
        <v>0</v>
      </c>
      <c r="R78">
        <f t="shared" si="58"/>
        <v>0</v>
      </c>
      <c r="S78">
        <f t="shared" si="58"/>
        <v>0</v>
      </c>
      <c r="T78">
        <f t="shared" si="58"/>
        <v>0</v>
      </c>
      <c r="U78" t="e">
        <f t="shared" si="5"/>
        <v>#DIV/0!</v>
      </c>
    </row>
    <row r="79" spans="1:21" x14ac:dyDescent="0.2">
      <c r="A79">
        <v>1711.1</v>
      </c>
      <c r="B79">
        <f t="shared" si="49"/>
        <v>798</v>
      </c>
      <c r="C79" t="e">
        <f t="shared" ref="C79:T79" si="59">IF(C$23=0,0,C$23*C$6/C493)</f>
        <v>#DIV/0!</v>
      </c>
      <c r="D79">
        <f t="shared" si="59"/>
        <v>0</v>
      </c>
      <c r="E79" t="e">
        <f t="shared" si="59"/>
        <v>#DIV/0!</v>
      </c>
      <c r="F79" t="e">
        <f t="shared" si="59"/>
        <v>#DIV/0!</v>
      </c>
      <c r="G79" t="e">
        <f t="shared" si="59"/>
        <v>#DIV/0!</v>
      </c>
      <c r="H79">
        <f t="shared" si="59"/>
        <v>0</v>
      </c>
      <c r="I79" t="e">
        <f t="shared" si="59"/>
        <v>#DIV/0!</v>
      </c>
      <c r="J79">
        <f t="shared" si="59"/>
        <v>0</v>
      </c>
      <c r="K79" t="e">
        <f t="shared" si="59"/>
        <v>#DIV/0!</v>
      </c>
      <c r="L79">
        <f t="shared" si="59"/>
        <v>0</v>
      </c>
      <c r="M79">
        <f t="shared" si="59"/>
        <v>0</v>
      </c>
      <c r="N79">
        <f t="shared" si="59"/>
        <v>0</v>
      </c>
      <c r="O79">
        <f t="shared" si="59"/>
        <v>0</v>
      </c>
      <c r="P79">
        <f t="shared" si="59"/>
        <v>0</v>
      </c>
      <c r="Q79">
        <f t="shared" si="59"/>
        <v>0</v>
      </c>
      <c r="R79">
        <f t="shared" si="59"/>
        <v>0</v>
      </c>
      <c r="S79">
        <f t="shared" si="59"/>
        <v>0</v>
      </c>
      <c r="T79">
        <f t="shared" si="59"/>
        <v>0</v>
      </c>
      <c r="U79" t="e">
        <f t="shared" si="5"/>
        <v>#DIV/0!</v>
      </c>
    </row>
    <row r="80" spans="1:21" x14ac:dyDescent="0.2">
      <c r="A80">
        <v>1711.1</v>
      </c>
      <c r="B80">
        <f t="shared" si="49"/>
        <v>848</v>
      </c>
      <c r="C80" t="e">
        <f t="shared" ref="C80:T80" si="60">IF(C$23=0,0,C$23*C$6/C494)</f>
        <v>#DIV/0!</v>
      </c>
      <c r="D80">
        <f t="shared" si="60"/>
        <v>0</v>
      </c>
      <c r="E80" t="e">
        <f t="shared" si="60"/>
        <v>#DIV/0!</v>
      </c>
      <c r="F80" t="e">
        <f t="shared" si="60"/>
        <v>#DIV/0!</v>
      </c>
      <c r="G80" t="e">
        <f t="shared" si="60"/>
        <v>#DIV/0!</v>
      </c>
      <c r="H80">
        <f t="shared" si="60"/>
        <v>0</v>
      </c>
      <c r="I80" t="e">
        <f t="shared" si="60"/>
        <v>#DIV/0!</v>
      </c>
      <c r="J80">
        <f t="shared" si="60"/>
        <v>0</v>
      </c>
      <c r="K80" t="e">
        <f t="shared" si="60"/>
        <v>#DIV/0!</v>
      </c>
      <c r="L80">
        <f t="shared" si="60"/>
        <v>0</v>
      </c>
      <c r="M80">
        <f t="shared" si="60"/>
        <v>0</v>
      </c>
      <c r="N80">
        <f t="shared" si="60"/>
        <v>0</v>
      </c>
      <c r="O80">
        <f t="shared" si="60"/>
        <v>0</v>
      </c>
      <c r="P80">
        <f t="shared" si="60"/>
        <v>0</v>
      </c>
      <c r="Q80">
        <f t="shared" si="60"/>
        <v>0</v>
      </c>
      <c r="R80">
        <f t="shared" si="60"/>
        <v>0</v>
      </c>
      <c r="S80">
        <f t="shared" si="60"/>
        <v>0</v>
      </c>
      <c r="T80">
        <f t="shared" si="60"/>
        <v>0</v>
      </c>
      <c r="U80" t="e">
        <f t="shared" si="5"/>
        <v>#DIV/0!</v>
      </c>
    </row>
    <row r="81" spans="1:43" x14ac:dyDescent="0.2">
      <c r="A81">
        <v>1711.1</v>
      </c>
      <c r="B81">
        <f t="shared" si="49"/>
        <v>898</v>
      </c>
      <c r="C81" t="e">
        <f t="shared" ref="C81:T81" si="61">IF(C$23=0,0,C$23*C$6/C495)</f>
        <v>#DIV/0!</v>
      </c>
      <c r="D81">
        <f t="shared" si="61"/>
        <v>0</v>
      </c>
      <c r="E81" t="e">
        <f t="shared" si="61"/>
        <v>#DIV/0!</v>
      </c>
      <c r="F81" t="e">
        <f t="shared" si="61"/>
        <v>#DIV/0!</v>
      </c>
      <c r="G81" t="e">
        <f t="shared" si="61"/>
        <v>#DIV/0!</v>
      </c>
      <c r="H81">
        <f t="shared" si="61"/>
        <v>0</v>
      </c>
      <c r="I81" t="e">
        <f t="shared" si="61"/>
        <v>#DIV/0!</v>
      </c>
      <c r="J81">
        <f t="shared" si="61"/>
        <v>0</v>
      </c>
      <c r="K81" t="e">
        <f t="shared" si="61"/>
        <v>#DIV/0!</v>
      </c>
      <c r="L81">
        <f t="shared" si="61"/>
        <v>0</v>
      </c>
      <c r="M81">
        <f t="shared" si="61"/>
        <v>0</v>
      </c>
      <c r="N81">
        <f t="shared" si="61"/>
        <v>0</v>
      </c>
      <c r="O81">
        <f t="shared" si="61"/>
        <v>0</v>
      </c>
      <c r="P81">
        <f t="shared" si="61"/>
        <v>0</v>
      </c>
      <c r="Q81">
        <f t="shared" si="61"/>
        <v>0</v>
      </c>
      <c r="R81">
        <f t="shared" si="61"/>
        <v>0</v>
      </c>
      <c r="S81">
        <f t="shared" si="61"/>
        <v>0</v>
      </c>
      <c r="T81">
        <f t="shared" si="61"/>
        <v>0</v>
      </c>
      <c r="U81" t="e">
        <f t="shared" si="5"/>
        <v>#DIV/0!</v>
      </c>
    </row>
    <row r="82" spans="1:43" x14ac:dyDescent="0.2">
      <c r="A82">
        <v>1711.1</v>
      </c>
      <c r="B82">
        <f t="shared" si="49"/>
        <v>948</v>
      </c>
      <c r="C82" t="e">
        <f t="shared" ref="C82:T82" si="62">IF(C$23=0,0,C$23*C$6/C496)</f>
        <v>#DIV/0!</v>
      </c>
      <c r="D82">
        <f t="shared" si="62"/>
        <v>0</v>
      </c>
      <c r="E82" t="e">
        <f t="shared" si="62"/>
        <v>#DIV/0!</v>
      </c>
      <c r="F82" t="e">
        <f t="shared" si="62"/>
        <v>#DIV/0!</v>
      </c>
      <c r="G82" t="e">
        <f t="shared" si="62"/>
        <v>#DIV/0!</v>
      </c>
      <c r="H82">
        <f t="shared" si="62"/>
        <v>0</v>
      </c>
      <c r="I82" t="e">
        <f t="shared" si="62"/>
        <v>#DIV/0!</v>
      </c>
      <c r="J82">
        <f t="shared" si="62"/>
        <v>0</v>
      </c>
      <c r="K82" t="e">
        <f t="shared" si="62"/>
        <v>#DIV/0!</v>
      </c>
      <c r="L82">
        <f t="shared" si="62"/>
        <v>0</v>
      </c>
      <c r="M82">
        <f t="shared" si="62"/>
        <v>0</v>
      </c>
      <c r="N82">
        <f t="shared" si="62"/>
        <v>0</v>
      </c>
      <c r="O82">
        <f t="shared" si="62"/>
        <v>0</v>
      </c>
      <c r="P82">
        <f t="shared" si="62"/>
        <v>0</v>
      </c>
      <c r="Q82">
        <f t="shared" si="62"/>
        <v>0</v>
      </c>
      <c r="R82">
        <f t="shared" si="62"/>
        <v>0</v>
      </c>
      <c r="S82">
        <f t="shared" si="62"/>
        <v>0</v>
      </c>
      <c r="T82">
        <f t="shared" si="62"/>
        <v>0</v>
      </c>
      <c r="U82" t="e">
        <f t="shared" si="5"/>
        <v>#DIV/0!</v>
      </c>
    </row>
    <row r="85" spans="1:43" ht="20" x14ac:dyDescent="0.25">
      <c r="A85" s="1" t="s">
        <v>102</v>
      </c>
      <c r="B85" s="63" t="s">
        <v>84</v>
      </c>
      <c r="C85" s="63"/>
      <c r="D85" s="63"/>
      <c r="E85" s="63"/>
      <c r="F85" s="63"/>
      <c r="G85" s="63"/>
      <c r="H85" s="63"/>
      <c r="I85" s="63"/>
      <c r="J85" s="63"/>
      <c r="K85" s="63"/>
      <c r="L85" s="63"/>
      <c r="M85" s="63"/>
      <c r="N85" s="63"/>
      <c r="O85" s="63"/>
      <c r="P85" s="63"/>
      <c r="Q85" s="63"/>
      <c r="R85" s="63"/>
      <c r="S85" s="63"/>
      <c r="T85" s="63"/>
      <c r="V85" s="1"/>
      <c r="W85" s="1"/>
      <c r="X85" s="1"/>
      <c r="Y85" s="1"/>
      <c r="Z85" s="1"/>
      <c r="AA85" s="1"/>
      <c r="AB85" s="1"/>
      <c r="AC85" s="1"/>
      <c r="AD85" s="1"/>
      <c r="AE85" s="1"/>
      <c r="AF85" s="1"/>
      <c r="AG85" s="1"/>
      <c r="AH85" s="1"/>
      <c r="AI85" s="1"/>
      <c r="AJ85" s="1"/>
      <c r="AK85" s="1"/>
      <c r="AL85" s="1"/>
      <c r="AM85" s="1"/>
      <c r="AO85" s="1"/>
      <c r="AP85" s="1"/>
      <c r="AQ85" s="1"/>
    </row>
    <row r="86" spans="1:43" ht="17" thickBot="1" x14ac:dyDescent="0.25">
      <c r="A86" s="32" t="s">
        <v>96</v>
      </c>
      <c r="B86" s="32" t="s">
        <v>97</v>
      </c>
      <c r="C86" s="13" t="s">
        <v>0</v>
      </c>
      <c r="D86" s="13" t="s">
        <v>1</v>
      </c>
      <c r="E86" s="13" t="s">
        <v>2</v>
      </c>
      <c r="F86" s="13" t="s">
        <v>3</v>
      </c>
      <c r="G86" s="13" t="s">
        <v>4</v>
      </c>
      <c r="H86" s="13" t="s">
        <v>5</v>
      </c>
      <c r="I86" s="13" t="s">
        <v>6</v>
      </c>
      <c r="J86" s="13" t="s">
        <v>7</v>
      </c>
      <c r="K86" s="13" t="s">
        <v>8</v>
      </c>
      <c r="L86" s="13" t="s">
        <v>9</v>
      </c>
      <c r="M86" s="13" t="s">
        <v>10</v>
      </c>
      <c r="N86" s="13" t="s">
        <v>11</v>
      </c>
      <c r="O86" s="13" t="s">
        <v>12</v>
      </c>
      <c r="P86" s="13" t="s">
        <v>13</v>
      </c>
      <c r="Q86" s="13" t="s">
        <v>14</v>
      </c>
      <c r="R86" s="13" t="s">
        <v>15</v>
      </c>
      <c r="S86" s="13" t="s">
        <v>16</v>
      </c>
      <c r="T86" s="13" t="s">
        <v>17</v>
      </c>
      <c r="V86" s="31"/>
      <c r="W86" s="31"/>
      <c r="X86" s="31"/>
      <c r="Y86" s="31"/>
      <c r="Z86" s="31"/>
      <c r="AA86" s="31"/>
      <c r="AB86" s="31"/>
      <c r="AC86" s="31"/>
      <c r="AD86" s="31"/>
      <c r="AE86" s="31"/>
      <c r="AF86" s="31"/>
      <c r="AG86" s="31"/>
      <c r="AH86" s="31"/>
      <c r="AI86" s="31"/>
      <c r="AJ86" s="31"/>
      <c r="AK86" s="31"/>
      <c r="AL86" s="31"/>
      <c r="AM86" s="31"/>
      <c r="AO86" s="1"/>
      <c r="AP86" s="1"/>
      <c r="AQ86" s="33"/>
    </row>
    <row r="87" spans="1:43" x14ac:dyDescent="0.2">
      <c r="A87">
        <v>0.1</v>
      </c>
      <c r="B87">
        <v>298</v>
      </c>
      <c r="C87">
        <f>C$8*10^-5+C$9*10^-8*$B87+C$10*$B87^-2</f>
        <v>2.3838260201702627E-5</v>
      </c>
      <c r="D87">
        <f t="shared" ref="D87:S102" si="63">D$8*10^-5+D$9*10^-8*$B87+D$10*$B87^-2</f>
        <v>-4.4000000000000002E-6</v>
      </c>
      <c r="E87">
        <f t="shared" si="63"/>
        <v>3.4E-5</v>
      </c>
      <c r="F87">
        <f t="shared" si="63"/>
        <v>1.1809874076392959E-5</v>
      </c>
      <c r="G87">
        <f t="shared" si="63"/>
        <v>1.2624022139723436E-5</v>
      </c>
      <c r="H87">
        <f t="shared" si="63"/>
        <v>3.5370000000000002E-5</v>
      </c>
      <c r="I87">
        <f t="shared" si="63"/>
        <v>5.8E-5</v>
      </c>
      <c r="J87">
        <f t="shared" si="63"/>
        <v>3.7000000000000005E-5</v>
      </c>
      <c r="K87">
        <f t="shared" si="63"/>
        <v>2.3810460000000002E-5</v>
      </c>
      <c r="L87">
        <f t="shared" si="63"/>
        <v>3.3300000000000003E-5</v>
      </c>
      <c r="M87">
        <f t="shared" si="63"/>
        <v>2.9800000000000003E-5</v>
      </c>
      <c r="N87">
        <f t="shared" si="63"/>
        <v>3.1421878000000005E-5</v>
      </c>
      <c r="O87">
        <f t="shared" si="63"/>
        <v>2.8750000000000001E-5</v>
      </c>
      <c r="P87">
        <f t="shared" si="63"/>
        <v>2.7217458305481738E-5</v>
      </c>
      <c r="Q87">
        <f t="shared" si="63"/>
        <v>2.6712632941759379E-5</v>
      </c>
      <c r="R87">
        <f t="shared" si="63"/>
        <v>2.4487200000000002E-5</v>
      </c>
      <c r="S87">
        <f t="shared" si="63"/>
        <v>1.9774757825683527E-5</v>
      </c>
      <c r="T87">
        <f t="shared" ref="T87:T142" si="64">T$8*10^-5+T$9*10^-8*$B87+T$10*$B87^-2</f>
        <v>1.5667391636412778E-5</v>
      </c>
    </row>
    <row r="88" spans="1:43" x14ac:dyDescent="0.2">
      <c r="A88">
        <v>0.1</v>
      </c>
      <c r="B88">
        <f t="shared" ref="B88:B100" si="65">B87+50</f>
        <v>348</v>
      </c>
      <c r="C88">
        <f t="shared" ref="C88:R103" si="66">C$8*10^-5+C$9*10^-8*$B88+C$10*$B88^-2</f>
        <v>3.3764961417888759E-5</v>
      </c>
      <c r="D88">
        <f t="shared" si="63"/>
        <v>-4.4000000000000002E-6</v>
      </c>
      <c r="E88">
        <f t="shared" si="63"/>
        <v>3.4E-5</v>
      </c>
      <c r="F88">
        <f t="shared" si="63"/>
        <v>1.5244431203593609E-5</v>
      </c>
      <c r="G88">
        <f t="shared" si="63"/>
        <v>1.2567567585678427E-5</v>
      </c>
      <c r="H88">
        <f t="shared" si="63"/>
        <v>3.5370000000000002E-5</v>
      </c>
      <c r="I88">
        <f t="shared" si="63"/>
        <v>5.8E-5</v>
      </c>
      <c r="J88">
        <f t="shared" si="63"/>
        <v>3.7000000000000005E-5</v>
      </c>
      <c r="K88">
        <f t="shared" si="63"/>
        <v>2.4323960000000004E-5</v>
      </c>
      <c r="L88">
        <f t="shared" si="63"/>
        <v>3.3300000000000003E-5</v>
      </c>
      <c r="M88">
        <f t="shared" si="63"/>
        <v>2.9800000000000003E-5</v>
      </c>
      <c r="N88">
        <f t="shared" si="63"/>
        <v>3.1707428000000004E-5</v>
      </c>
      <c r="O88">
        <f t="shared" si="63"/>
        <v>2.8750000000000001E-5</v>
      </c>
      <c r="P88">
        <f t="shared" si="63"/>
        <v>2.8875360147971996E-5</v>
      </c>
      <c r="Q88">
        <f t="shared" si="63"/>
        <v>2.7444708463469419E-5</v>
      </c>
      <c r="R88">
        <f t="shared" si="63"/>
        <v>2.5307200000000001E-5</v>
      </c>
      <c r="S88">
        <f t="shared" si="63"/>
        <v>2.143549550429383E-5</v>
      </c>
      <c r="T88">
        <f t="shared" si="64"/>
        <v>1.7797409919408112E-5</v>
      </c>
    </row>
    <row r="89" spans="1:43" x14ac:dyDescent="0.2">
      <c r="A89">
        <v>0.1</v>
      </c>
      <c r="B89">
        <f t="shared" si="65"/>
        <v>398</v>
      </c>
      <c r="C89">
        <f t="shared" si="66"/>
        <v>4.1894230803212041E-5</v>
      </c>
      <c r="D89">
        <f t="shared" si="63"/>
        <v>-4.4000000000000002E-6</v>
      </c>
      <c r="E89">
        <f t="shared" si="63"/>
        <v>3.4E-5</v>
      </c>
      <c r="F89">
        <f t="shared" si="63"/>
        <v>1.7645409430822455E-5</v>
      </c>
      <c r="G89">
        <f t="shared" si="63"/>
        <v>1.2528162847503853E-5</v>
      </c>
      <c r="H89">
        <f t="shared" si="63"/>
        <v>3.5370000000000002E-5</v>
      </c>
      <c r="I89">
        <f t="shared" si="63"/>
        <v>5.8E-5</v>
      </c>
      <c r="J89">
        <f t="shared" si="63"/>
        <v>3.7000000000000005E-5</v>
      </c>
      <c r="K89">
        <f t="shared" si="63"/>
        <v>2.4837460000000001E-5</v>
      </c>
      <c r="L89">
        <f t="shared" si="63"/>
        <v>3.3300000000000003E-5</v>
      </c>
      <c r="M89">
        <f t="shared" si="63"/>
        <v>2.9800000000000003E-5</v>
      </c>
      <c r="N89">
        <f t="shared" si="63"/>
        <v>3.1992978000000003E-5</v>
      </c>
      <c r="O89">
        <f t="shared" si="63"/>
        <v>2.8750000000000001E-5</v>
      </c>
      <c r="P89">
        <f t="shared" si="63"/>
        <v>3.0126396198075811E-5</v>
      </c>
      <c r="Q89">
        <f t="shared" si="63"/>
        <v>2.8121928055857177E-5</v>
      </c>
      <c r="R89">
        <f t="shared" si="63"/>
        <v>2.6127200000000003E-5</v>
      </c>
      <c r="S89">
        <f t="shared" si="63"/>
        <v>2.2615661354208227E-5</v>
      </c>
      <c r="T89">
        <f t="shared" si="64"/>
        <v>1.9390411952223435E-5</v>
      </c>
    </row>
    <row r="90" spans="1:43" x14ac:dyDescent="0.2">
      <c r="A90">
        <v>0.1</v>
      </c>
      <c r="B90">
        <f t="shared" si="65"/>
        <v>448</v>
      </c>
      <c r="C90">
        <f t="shared" si="66"/>
        <v>4.8981555697704084E-5</v>
      </c>
      <c r="D90">
        <f t="shared" si="63"/>
        <v>-4.4000000000000002E-6</v>
      </c>
      <c r="E90">
        <f t="shared" si="63"/>
        <v>3.4E-5</v>
      </c>
      <c r="F90">
        <f t="shared" si="63"/>
        <v>1.9447237346938776E-5</v>
      </c>
      <c r="G90">
        <f t="shared" si="63"/>
        <v>1.2498641633928573E-5</v>
      </c>
      <c r="H90">
        <f t="shared" si="63"/>
        <v>3.5370000000000002E-5</v>
      </c>
      <c r="I90">
        <f t="shared" si="63"/>
        <v>5.8E-5</v>
      </c>
      <c r="J90">
        <f t="shared" si="63"/>
        <v>3.7000000000000005E-5</v>
      </c>
      <c r="K90">
        <f t="shared" si="63"/>
        <v>2.5350960000000002E-5</v>
      </c>
      <c r="L90">
        <f t="shared" si="63"/>
        <v>3.3300000000000003E-5</v>
      </c>
      <c r="M90">
        <f t="shared" si="63"/>
        <v>2.9800000000000003E-5</v>
      </c>
      <c r="N90">
        <f t="shared" si="63"/>
        <v>3.2278528000000003E-5</v>
      </c>
      <c r="O90">
        <f t="shared" si="63"/>
        <v>2.8750000000000001E-5</v>
      </c>
      <c r="P90">
        <f t="shared" si="63"/>
        <v>3.1141578201530619E-5</v>
      </c>
      <c r="Q90">
        <f t="shared" si="63"/>
        <v>2.8767348482142859E-5</v>
      </c>
      <c r="R90">
        <f t="shared" si="63"/>
        <v>2.6947200000000002E-5</v>
      </c>
      <c r="S90">
        <f t="shared" si="63"/>
        <v>2.3517246864795918E-5</v>
      </c>
      <c r="T90">
        <f t="shared" si="64"/>
        <v>2.0672113654336737E-5</v>
      </c>
    </row>
    <row r="91" spans="1:43" x14ac:dyDescent="0.2">
      <c r="A91">
        <v>0.1</v>
      </c>
      <c r="B91">
        <f t="shared" si="65"/>
        <v>498</v>
      </c>
      <c r="C91">
        <f t="shared" si="66"/>
        <v>5.5423496771632715E-5</v>
      </c>
      <c r="D91">
        <f t="shared" si="63"/>
        <v>-4.4000000000000002E-6</v>
      </c>
      <c r="E91">
        <f t="shared" si="63"/>
        <v>3.4E-5</v>
      </c>
      <c r="F91">
        <f t="shared" si="63"/>
        <v>2.0877949603554783E-5</v>
      </c>
      <c r="G91">
        <f t="shared" si="63"/>
        <v>1.247524230776923E-5</v>
      </c>
      <c r="H91">
        <f t="shared" si="63"/>
        <v>3.5370000000000002E-5</v>
      </c>
      <c r="I91">
        <f t="shared" si="63"/>
        <v>5.8E-5</v>
      </c>
      <c r="J91">
        <f t="shared" si="63"/>
        <v>3.7000000000000005E-5</v>
      </c>
      <c r="K91">
        <f t="shared" si="63"/>
        <v>2.5864460000000003E-5</v>
      </c>
      <c r="L91">
        <f t="shared" si="63"/>
        <v>3.3300000000000003E-5</v>
      </c>
      <c r="M91">
        <f t="shared" si="63"/>
        <v>2.9800000000000003E-5</v>
      </c>
      <c r="N91">
        <f t="shared" si="63"/>
        <v>3.2564078000000002E-5</v>
      </c>
      <c r="O91">
        <f t="shared" si="63"/>
        <v>2.8750000000000001E-5</v>
      </c>
      <c r="P91">
        <f t="shared" si="63"/>
        <v>3.2010671438202618E-5</v>
      </c>
      <c r="Q91">
        <f t="shared" si="63"/>
        <v>2.9393072401090306E-5</v>
      </c>
      <c r="R91">
        <f t="shared" si="63"/>
        <v>2.7767200000000001E-5</v>
      </c>
      <c r="S91">
        <f t="shared" si="63"/>
        <v>2.424627880337414E-5</v>
      </c>
      <c r="T91">
        <f t="shared" si="64"/>
        <v>2.1760994914920731E-5</v>
      </c>
    </row>
    <row r="92" spans="1:43" x14ac:dyDescent="0.2">
      <c r="A92">
        <v>0.1</v>
      </c>
      <c r="B92">
        <f t="shared" si="65"/>
        <v>548</v>
      </c>
      <c r="C92">
        <f t="shared" si="66"/>
        <v>6.1444448631893005E-5</v>
      </c>
      <c r="D92">
        <f t="shared" si="63"/>
        <v>-4.4000000000000002E-6</v>
      </c>
      <c r="E92">
        <f t="shared" si="63"/>
        <v>3.4E-5</v>
      </c>
      <c r="F92">
        <f t="shared" si="63"/>
        <v>2.2066580040492303E-5</v>
      </c>
      <c r="G92">
        <f t="shared" si="63"/>
        <v>1.2455836339495979E-5</v>
      </c>
      <c r="H92">
        <f t="shared" si="63"/>
        <v>3.5370000000000002E-5</v>
      </c>
      <c r="I92">
        <f t="shared" si="63"/>
        <v>5.8E-5</v>
      </c>
      <c r="J92">
        <f t="shared" si="63"/>
        <v>3.7000000000000005E-5</v>
      </c>
      <c r="K92">
        <f t="shared" si="63"/>
        <v>2.6377960000000001E-5</v>
      </c>
      <c r="L92">
        <f t="shared" si="63"/>
        <v>3.3300000000000003E-5</v>
      </c>
      <c r="M92">
        <f t="shared" si="63"/>
        <v>2.9800000000000003E-5</v>
      </c>
      <c r="N92">
        <f t="shared" si="63"/>
        <v>3.2849628000000001E-5</v>
      </c>
      <c r="O92">
        <f t="shared" si="63"/>
        <v>2.8750000000000001E-5</v>
      </c>
      <c r="P92">
        <f t="shared" si="63"/>
        <v>3.2784469761841341E-5</v>
      </c>
      <c r="Q92">
        <f t="shared" si="63"/>
        <v>3.00059481250999E-5</v>
      </c>
      <c r="R92">
        <f t="shared" si="63"/>
        <v>2.8587200000000003E-5</v>
      </c>
      <c r="S92">
        <f t="shared" si="63"/>
        <v>2.4862752617187918E-5</v>
      </c>
      <c r="T92">
        <f t="shared" si="64"/>
        <v>2.2724097803825458E-5</v>
      </c>
    </row>
    <row r="93" spans="1:43" x14ac:dyDescent="0.2">
      <c r="A93">
        <v>0.1</v>
      </c>
      <c r="B93">
        <f t="shared" si="65"/>
        <v>598</v>
      </c>
      <c r="C93">
        <f t="shared" si="66"/>
        <v>6.7179126437489508E-5</v>
      </c>
      <c r="D93">
        <f t="shared" si="63"/>
        <v>-4.4000000000000002E-6</v>
      </c>
      <c r="E93">
        <f t="shared" si="63"/>
        <v>3.4E-5</v>
      </c>
      <c r="F93">
        <f t="shared" si="63"/>
        <v>2.3090594041118109E-5</v>
      </c>
      <c r="G93">
        <f t="shared" si="63"/>
        <v>1.2439145867764344E-5</v>
      </c>
      <c r="H93">
        <f t="shared" si="63"/>
        <v>3.5370000000000002E-5</v>
      </c>
      <c r="I93">
        <f t="shared" si="63"/>
        <v>5.8E-5</v>
      </c>
      <c r="J93">
        <f t="shared" si="63"/>
        <v>3.7000000000000005E-5</v>
      </c>
      <c r="K93">
        <f t="shared" si="63"/>
        <v>2.6891460000000002E-5</v>
      </c>
      <c r="L93">
        <f t="shared" si="63"/>
        <v>3.3300000000000003E-5</v>
      </c>
      <c r="M93">
        <f t="shared" si="63"/>
        <v>2.9800000000000003E-5</v>
      </c>
      <c r="N93">
        <f t="shared" si="63"/>
        <v>3.3135178000000007E-5</v>
      </c>
      <c r="O93">
        <f t="shared" si="63"/>
        <v>2.8750000000000001E-5</v>
      </c>
      <c r="P93">
        <f t="shared" si="63"/>
        <v>3.3493467230120478E-5</v>
      </c>
      <c r="Q93">
        <f t="shared" si="63"/>
        <v>3.0610087034149507E-5</v>
      </c>
      <c r="R93">
        <f t="shared" si="63"/>
        <v>2.9407199999999999E-5</v>
      </c>
      <c r="S93">
        <f t="shared" si="63"/>
        <v>2.5402686534692006E-5</v>
      </c>
      <c r="T93">
        <f t="shared" si="64"/>
        <v>2.3601670984888314E-5</v>
      </c>
    </row>
    <row r="94" spans="1:43" x14ac:dyDescent="0.2">
      <c r="A94">
        <v>0.1</v>
      </c>
      <c r="B94">
        <f t="shared" si="65"/>
        <v>648</v>
      </c>
      <c r="C94">
        <f t="shared" si="66"/>
        <v>7.2712373611949407E-5</v>
      </c>
      <c r="D94">
        <f t="shared" si="63"/>
        <v>-4.4000000000000002E-6</v>
      </c>
      <c r="E94">
        <f t="shared" si="63"/>
        <v>3.4E-5</v>
      </c>
      <c r="F94">
        <f t="shared" si="63"/>
        <v>2.3998779198292944E-5</v>
      </c>
      <c r="G94">
        <f t="shared" si="63"/>
        <v>1.2424366097241276E-5</v>
      </c>
      <c r="H94">
        <f t="shared" si="63"/>
        <v>3.5370000000000002E-5</v>
      </c>
      <c r="I94">
        <f t="shared" si="63"/>
        <v>5.8E-5</v>
      </c>
      <c r="J94">
        <f t="shared" si="63"/>
        <v>3.7000000000000005E-5</v>
      </c>
      <c r="K94">
        <f t="shared" si="63"/>
        <v>2.7404960000000003E-5</v>
      </c>
      <c r="L94">
        <f t="shared" si="63"/>
        <v>3.3300000000000003E-5</v>
      </c>
      <c r="M94">
        <f t="shared" si="63"/>
        <v>2.9800000000000003E-5</v>
      </c>
      <c r="N94">
        <f t="shared" si="63"/>
        <v>3.3420728000000007E-5</v>
      </c>
      <c r="O94">
        <f t="shared" si="63"/>
        <v>2.8750000000000001E-5</v>
      </c>
      <c r="P94">
        <f t="shared" si="63"/>
        <v>3.4156868959000163E-5</v>
      </c>
      <c r="Q94">
        <f t="shared" si="63"/>
        <v>3.1208078469745462E-5</v>
      </c>
      <c r="R94">
        <f t="shared" si="63"/>
        <v>3.0227200000000001E-5</v>
      </c>
      <c r="S94">
        <f t="shared" si="63"/>
        <v>2.5888764787075141E-5</v>
      </c>
      <c r="T94">
        <f t="shared" si="64"/>
        <v>2.4419063011736021E-5</v>
      </c>
    </row>
    <row r="95" spans="1:43" x14ac:dyDescent="0.2">
      <c r="A95">
        <v>0.1</v>
      </c>
      <c r="B95">
        <f t="shared" si="65"/>
        <v>698</v>
      </c>
      <c r="C95">
        <f t="shared" si="66"/>
        <v>7.8099781709000752E-5</v>
      </c>
      <c r="D95">
        <f t="shared" si="63"/>
        <v>-4.4000000000000002E-6</v>
      </c>
      <c r="E95">
        <f t="shared" si="63"/>
        <v>3.4E-5</v>
      </c>
      <c r="F95">
        <f t="shared" si="63"/>
        <v>2.4823102374939454E-5</v>
      </c>
      <c r="G95">
        <f t="shared" si="63"/>
        <v>1.2410969705700283E-5</v>
      </c>
      <c r="H95">
        <f t="shared" si="63"/>
        <v>3.5370000000000002E-5</v>
      </c>
      <c r="I95">
        <f t="shared" si="63"/>
        <v>5.8E-5</v>
      </c>
      <c r="J95">
        <f t="shared" si="63"/>
        <v>3.7000000000000005E-5</v>
      </c>
      <c r="K95">
        <f t="shared" si="63"/>
        <v>2.7918460000000001E-5</v>
      </c>
      <c r="L95">
        <f t="shared" si="63"/>
        <v>3.3300000000000003E-5</v>
      </c>
      <c r="M95">
        <f t="shared" si="63"/>
        <v>2.9800000000000003E-5</v>
      </c>
      <c r="N95">
        <f t="shared" si="63"/>
        <v>3.3706278000000006E-5</v>
      </c>
      <c r="O95">
        <f t="shared" si="63"/>
        <v>2.8750000000000001E-5</v>
      </c>
      <c r="P95">
        <f t="shared" si="63"/>
        <v>3.4787258625462847E-5</v>
      </c>
      <c r="Q95">
        <f t="shared" si="63"/>
        <v>3.180161903383388E-5</v>
      </c>
      <c r="R95">
        <f t="shared" si="63"/>
        <v>3.1047200000000003E-5</v>
      </c>
      <c r="S95">
        <f t="shared" si="63"/>
        <v>2.6335850655479021E-5</v>
      </c>
      <c r="T95">
        <f t="shared" si="64"/>
        <v>2.5192882896856348E-5</v>
      </c>
    </row>
    <row r="96" spans="1:43" x14ac:dyDescent="0.2">
      <c r="A96">
        <v>0.1</v>
      </c>
      <c r="B96">
        <f t="shared" si="65"/>
        <v>748</v>
      </c>
      <c r="C96">
        <f t="shared" si="66"/>
        <v>8.337900825794274E-5</v>
      </c>
      <c r="D96">
        <f t="shared" si="63"/>
        <v>-4.4000000000000002E-6</v>
      </c>
      <c r="E96">
        <f t="shared" si="63"/>
        <v>3.4E-5</v>
      </c>
      <c r="F96">
        <f t="shared" si="63"/>
        <v>2.5585217815207758E-5</v>
      </c>
      <c r="G96">
        <f t="shared" si="63"/>
        <v>1.239859948685979E-5</v>
      </c>
      <c r="H96">
        <f t="shared" si="63"/>
        <v>3.5370000000000002E-5</v>
      </c>
      <c r="I96">
        <f t="shared" si="63"/>
        <v>5.8E-5</v>
      </c>
      <c r="J96">
        <f t="shared" si="63"/>
        <v>3.7000000000000005E-5</v>
      </c>
      <c r="K96">
        <f t="shared" si="63"/>
        <v>2.8431960000000002E-5</v>
      </c>
      <c r="L96">
        <f t="shared" si="63"/>
        <v>3.3300000000000003E-5</v>
      </c>
      <c r="M96">
        <f t="shared" si="63"/>
        <v>2.9800000000000003E-5</v>
      </c>
      <c r="N96">
        <f t="shared" si="63"/>
        <v>3.3991828000000005E-5</v>
      </c>
      <c r="O96">
        <f t="shared" si="63"/>
        <v>2.8750000000000001E-5</v>
      </c>
      <c r="P96">
        <f t="shared" si="63"/>
        <v>3.5393160369470102E-5</v>
      </c>
      <c r="Q96">
        <f t="shared" si="63"/>
        <v>3.2391857998798937E-5</v>
      </c>
      <c r="R96">
        <f t="shared" si="63"/>
        <v>3.1867199999999999E-5</v>
      </c>
      <c r="S96">
        <f t="shared" si="63"/>
        <v>2.6754012475964426E-5</v>
      </c>
      <c r="T96">
        <f t="shared" si="64"/>
        <v>2.593438152878264E-5</v>
      </c>
    </row>
    <row r="97" spans="1:20" x14ac:dyDescent="0.2">
      <c r="A97">
        <v>0.1</v>
      </c>
      <c r="B97">
        <f t="shared" si="65"/>
        <v>798</v>
      </c>
      <c r="C97">
        <f t="shared" si="66"/>
        <v>8.8576296701892561E-5</v>
      </c>
      <c r="D97">
        <f t="shared" si="63"/>
        <v>-4.4000000000000002E-6</v>
      </c>
      <c r="E97">
        <f t="shared" si="63"/>
        <v>3.4E-5</v>
      </c>
      <c r="F97">
        <f t="shared" si="63"/>
        <v>2.6300216310638752E-5</v>
      </c>
      <c r="G97">
        <f t="shared" si="63"/>
        <v>1.2387006504506882E-5</v>
      </c>
      <c r="H97">
        <f t="shared" si="63"/>
        <v>3.5370000000000002E-5</v>
      </c>
      <c r="I97">
        <f t="shared" si="63"/>
        <v>5.8E-5</v>
      </c>
      <c r="J97">
        <f t="shared" si="63"/>
        <v>3.7000000000000005E-5</v>
      </c>
      <c r="K97">
        <f t="shared" si="63"/>
        <v>2.894546E-5</v>
      </c>
      <c r="L97">
        <f t="shared" si="63"/>
        <v>3.3300000000000003E-5</v>
      </c>
      <c r="M97">
        <f t="shared" si="63"/>
        <v>2.9800000000000003E-5</v>
      </c>
      <c r="N97">
        <f t="shared" si="63"/>
        <v>3.4277378000000005E-5</v>
      </c>
      <c r="O97">
        <f t="shared" si="63"/>
        <v>2.8750000000000001E-5</v>
      </c>
      <c r="P97">
        <f t="shared" si="63"/>
        <v>3.5980514644003497E-5</v>
      </c>
      <c r="Q97">
        <f t="shared" si="63"/>
        <v>3.2979596289847432E-5</v>
      </c>
      <c r="R97">
        <f t="shared" si="63"/>
        <v>3.2687200000000001E-5</v>
      </c>
      <c r="S97">
        <f t="shared" si="63"/>
        <v>2.7150266848122815E-5</v>
      </c>
      <c r="T97">
        <f t="shared" si="64"/>
        <v>2.6651399625127985E-5</v>
      </c>
    </row>
    <row r="98" spans="1:20" x14ac:dyDescent="0.2">
      <c r="A98">
        <v>0.1</v>
      </c>
      <c r="B98">
        <f t="shared" si="65"/>
        <v>848</v>
      </c>
      <c r="C98">
        <f t="shared" si="66"/>
        <v>9.3710389628693495E-5</v>
      </c>
      <c r="D98">
        <f t="shared" si="63"/>
        <v>-4.4000000000000002E-6</v>
      </c>
      <c r="E98">
        <f t="shared" si="63"/>
        <v>3.4E-5</v>
      </c>
      <c r="F98">
        <f t="shared" si="63"/>
        <v>2.6978875428978286E-5</v>
      </c>
      <c r="G98">
        <f t="shared" si="63"/>
        <v>1.2376012972944108E-5</v>
      </c>
      <c r="H98">
        <f t="shared" si="63"/>
        <v>3.5370000000000002E-5</v>
      </c>
      <c r="I98">
        <f t="shared" si="63"/>
        <v>5.8E-5</v>
      </c>
      <c r="J98">
        <f t="shared" si="63"/>
        <v>3.7000000000000005E-5</v>
      </c>
      <c r="K98">
        <f t="shared" si="63"/>
        <v>2.9458960000000001E-5</v>
      </c>
      <c r="L98">
        <f t="shared" si="63"/>
        <v>3.3300000000000003E-5</v>
      </c>
      <c r="M98">
        <f t="shared" si="63"/>
        <v>2.9800000000000003E-5</v>
      </c>
      <c r="N98">
        <f t="shared" si="63"/>
        <v>3.4562928000000004E-5</v>
      </c>
      <c r="O98">
        <f t="shared" si="63"/>
        <v>2.8750000000000001E-5</v>
      </c>
      <c r="P98">
        <f t="shared" si="63"/>
        <v>3.6553564012103955E-5</v>
      </c>
      <c r="Q98">
        <f t="shared" si="63"/>
        <v>3.356540591313635E-5</v>
      </c>
      <c r="R98">
        <f t="shared" si="63"/>
        <v>3.3507200000000003E-5</v>
      </c>
      <c r="S98">
        <f t="shared" si="63"/>
        <v>2.7529624899252404E-5</v>
      </c>
      <c r="T98">
        <f t="shared" si="64"/>
        <v>2.734953688323247E-5</v>
      </c>
    </row>
    <row r="99" spans="1:20" x14ac:dyDescent="0.2">
      <c r="A99">
        <v>0.1</v>
      </c>
      <c r="B99">
        <f t="shared" si="65"/>
        <v>898</v>
      </c>
      <c r="C99">
        <f t="shared" si="66"/>
        <v>9.879496173400926E-5</v>
      </c>
      <c r="D99">
        <f t="shared" si="63"/>
        <v>-4.4000000000000002E-6</v>
      </c>
      <c r="E99">
        <f t="shared" si="63"/>
        <v>3.4E-5</v>
      </c>
      <c r="F99">
        <f t="shared" si="63"/>
        <v>2.7629058543211592E-5</v>
      </c>
      <c r="G99">
        <f t="shared" si="63"/>
        <v>1.2365489178744154E-5</v>
      </c>
      <c r="H99">
        <f t="shared" si="63"/>
        <v>3.5370000000000002E-5</v>
      </c>
      <c r="I99">
        <f t="shared" si="63"/>
        <v>5.8E-5</v>
      </c>
      <c r="J99">
        <f t="shared" si="63"/>
        <v>3.7000000000000005E-5</v>
      </c>
      <c r="K99">
        <f t="shared" si="63"/>
        <v>2.9972460000000002E-5</v>
      </c>
      <c r="L99">
        <f t="shared" si="63"/>
        <v>3.3300000000000003E-5</v>
      </c>
      <c r="M99">
        <f t="shared" si="63"/>
        <v>2.9800000000000003E-5</v>
      </c>
      <c r="N99">
        <f t="shared" si="63"/>
        <v>3.4848478000000003E-5</v>
      </c>
      <c r="O99">
        <f t="shared" si="63"/>
        <v>2.8750000000000001E-5</v>
      </c>
      <c r="P99">
        <f t="shared" si="63"/>
        <v>3.7115403871210963E-5</v>
      </c>
      <c r="Q99">
        <f t="shared" si="63"/>
        <v>3.4149704207518817E-5</v>
      </c>
      <c r="R99">
        <f t="shared" si="63"/>
        <v>3.4327199999999999E-5</v>
      </c>
      <c r="S99">
        <f t="shared" si="63"/>
        <v>2.7895742775521946E-5</v>
      </c>
      <c r="T99">
        <f t="shared" si="64"/>
        <v>2.8032878873219876E-5</v>
      </c>
    </row>
    <row r="100" spans="1:20" x14ac:dyDescent="0.2">
      <c r="A100">
        <v>0.1</v>
      </c>
      <c r="B100">
        <f t="shared" si="65"/>
        <v>948</v>
      </c>
      <c r="C100">
        <f t="shared" si="66"/>
        <v>1.0384017951489256E-4</v>
      </c>
      <c r="D100">
        <f t="shared" si="63"/>
        <v>-4.4000000000000002E-6</v>
      </c>
      <c r="E100">
        <f t="shared" si="63"/>
        <v>3.4E-5</v>
      </c>
      <c r="F100">
        <f t="shared" si="63"/>
        <v>2.8256611703608755E-5</v>
      </c>
      <c r="G100">
        <f t="shared" si="63"/>
        <v>1.2355338686036782E-5</v>
      </c>
      <c r="H100">
        <f t="shared" si="63"/>
        <v>3.5370000000000002E-5</v>
      </c>
      <c r="I100">
        <f t="shared" si="63"/>
        <v>5.8E-5</v>
      </c>
      <c r="J100">
        <f t="shared" si="63"/>
        <v>3.7000000000000005E-5</v>
      </c>
      <c r="K100">
        <f t="shared" si="63"/>
        <v>3.0485960000000003E-5</v>
      </c>
      <c r="L100">
        <f t="shared" si="63"/>
        <v>3.3300000000000003E-5</v>
      </c>
      <c r="M100">
        <f t="shared" si="63"/>
        <v>2.9800000000000003E-5</v>
      </c>
      <c r="N100">
        <f t="shared" si="63"/>
        <v>3.5134028000000003E-5</v>
      </c>
      <c r="O100">
        <f t="shared" si="63"/>
        <v>2.8750000000000001E-5</v>
      </c>
      <c r="P100">
        <f t="shared" si="63"/>
        <v>3.7668335504637797E-5</v>
      </c>
      <c r="Q100">
        <f t="shared" si="63"/>
        <v>3.473280144492514E-5</v>
      </c>
      <c r="R100">
        <f t="shared" si="63"/>
        <v>3.5147200000000001E-5</v>
      </c>
      <c r="S100">
        <f t="shared" si="63"/>
        <v>2.8251338650714809E-5</v>
      </c>
      <c r="T100">
        <f t="shared" si="64"/>
        <v>2.8704463025512295E-5</v>
      </c>
    </row>
    <row r="101" spans="1:20" x14ac:dyDescent="0.2">
      <c r="A101">
        <v>570.1</v>
      </c>
      <c r="B101">
        <v>298</v>
      </c>
      <c r="C101">
        <f t="shared" si="66"/>
        <v>2.3838260201702627E-5</v>
      </c>
      <c r="D101">
        <f t="shared" si="63"/>
        <v>-4.4000000000000002E-6</v>
      </c>
      <c r="E101">
        <f t="shared" si="63"/>
        <v>3.4E-5</v>
      </c>
      <c r="F101">
        <f t="shared" si="63"/>
        <v>1.1809874076392959E-5</v>
      </c>
      <c r="G101">
        <f t="shared" si="63"/>
        <v>1.2624022139723436E-5</v>
      </c>
      <c r="H101">
        <f t="shared" si="63"/>
        <v>3.5370000000000002E-5</v>
      </c>
      <c r="I101">
        <f t="shared" si="63"/>
        <v>5.8E-5</v>
      </c>
      <c r="J101">
        <f t="shared" si="63"/>
        <v>3.7000000000000005E-5</v>
      </c>
      <c r="K101">
        <f t="shared" si="63"/>
        <v>2.3810460000000002E-5</v>
      </c>
      <c r="L101">
        <f t="shared" si="63"/>
        <v>3.3300000000000003E-5</v>
      </c>
      <c r="M101">
        <f t="shared" si="63"/>
        <v>2.9800000000000003E-5</v>
      </c>
      <c r="N101">
        <f t="shared" si="63"/>
        <v>3.1421878000000005E-5</v>
      </c>
      <c r="O101">
        <f t="shared" si="63"/>
        <v>2.8750000000000001E-5</v>
      </c>
      <c r="P101">
        <f t="shared" si="63"/>
        <v>2.7217458305481738E-5</v>
      </c>
      <c r="Q101">
        <f t="shared" si="63"/>
        <v>2.6712632941759379E-5</v>
      </c>
      <c r="R101">
        <f t="shared" si="63"/>
        <v>2.4487200000000002E-5</v>
      </c>
      <c r="S101">
        <f t="shared" si="63"/>
        <v>1.9774757825683527E-5</v>
      </c>
      <c r="T101">
        <f t="shared" si="64"/>
        <v>1.5667391636412778E-5</v>
      </c>
    </row>
    <row r="102" spans="1:20" x14ac:dyDescent="0.2">
      <c r="A102">
        <v>570.1</v>
      </c>
      <c r="B102">
        <f t="shared" ref="B102:B114" si="67">B101+50</f>
        <v>348</v>
      </c>
      <c r="C102">
        <f t="shared" si="66"/>
        <v>3.3764961417888759E-5</v>
      </c>
      <c r="D102">
        <f t="shared" si="63"/>
        <v>-4.4000000000000002E-6</v>
      </c>
      <c r="E102">
        <f t="shared" si="63"/>
        <v>3.4E-5</v>
      </c>
      <c r="F102">
        <f t="shared" si="63"/>
        <v>1.5244431203593609E-5</v>
      </c>
      <c r="G102">
        <f t="shared" si="63"/>
        <v>1.2567567585678427E-5</v>
      </c>
      <c r="H102">
        <f t="shared" si="63"/>
        <v>3.5370000000000002E-5</v>
      </c>
      <c r="I102">
        <f t="shared" si="63"/>
        <v>5.8E-5</v>
      </c>
      <c r="J102">
        <f t="shared" si="63"/>
        <v>3.7000000000000005E-5</v>
      </c>
      <c r="K102">
        <f t="shared" si="63"/>
        <v>2.4323960000000004E-5</v>
      </c>
      <c r="L102">
        <f t="shared" si="63"/>
        <v>3.3300000000000003E-5</v>
      </c>
      <c r="M102">
        <f t="shared" si="63"/>
        <v>2.9800000000000003E-5</v>
      </c>
      <c r="N102">
        <f t="shared" si="63"/>
        <v>3.1707428000000004E-5</v>
      </c>
      <c r="O102">
        <f t="shared" si="63"/>
        <v>2.8750000000000001E-5</v>
      </c>
      <c r="P102">
        <f t="shared" si="63"/>
        <v>2.8875360147971996E-5</v>
      </c>
      <c r="Q102">
        <f t="shared" si="63"/>
        <v>2.7444708463469419E-5</v>
      </c>
      <c r="R102">
        <f t="shared" si="63"/>
        <v>2.5307200000000001E-5</v>
      </c>
      <c r="S102">
        <f t="shared" ref="S102:S121" si="68">S$8*10^-5+S$9*10^-8*$B102+S$10*$B102^-2</f>
        <v>2.143549550429383E-5</v>
      </c>
      <c r="T102">
        <f t="shared" si="64"/>
        <v>1.7797409919408112E-5</v>
      </c>
    </row>
    <row r="103" spans="1:20" x14ac:dyDescent="0.2">
      <c r="A103">
        <v>570.1</v>
      </c>
      <c r="B103">
        <f t="shared" si="67"/>
        <v>398</v>
      </c>
      <c r="C103">
        <f t="shared" si="66"/>
        <v>4.1894230803212041E-5</v>
      </c>
      <c r="D103">
        <f t="shared" si="66"/>
        <v>-4.4000000000000002E-6</v>
      </c>
      <c r="E103">
        <f t="shared" si="66"/>
        <v>3.4E-5</v>
      </c>
      <c r="F103">
        <f t="shared" si="66"/>
        <v>1.7645409430822455E-5</v>
      </c>
      <c r="G103">
        <f t="shared" si="66"/>
        <v>1.2528162847503853E-5</v>
      </c>
      <c r="H103">
        <f t="shared" si="66"/>
        <v>3.5370000000000002E-5</v>
      </c>
      <c r="I103">
        <f t="shared" si="66"/>
        <v>5.8E-5</v>
      </c>
      <c r="J103">
        <f t="shared" si="66"/>
        <v>3.7000000000000005E-5</v>
      </c>
      <c r="K103">
        <f t="shared" si="66"/>
        <v>2.4837460000000001E-5</v>
      </c>
      <c r="L103">
        <f t="shared" si="66"/>
        <v>3.3300000000000003E-5</v>
      </c>
      <c r="M103">
        <f t="shared" si="66"/>
        <v>2.9800000000000003E-5</v>
      </c>
      <c r="N103">
        <f t="shared" si="66"/>
        <v>3.1992978000000003E-5</v>
      </c>
      <c r="O103">
        <f t="shared" si="66"/>
        <v>2.8750000000000001E-5</v>
      </c>
      <c r="P103">
        <f t="shared" si="66"/>
        <v>3.0126396198075811E-5</v>
      </c>
      <c r="Q103">
        <f t="shared" si="66"/>
        <v>2.8121928055857177E-5</v>
      </c>
      <c r="R103">
        <f t="shared" si="66"/>
        <v>2.6127200000000003E-5</v>
      </c>
      <c r="S103">
        <f t="shared" si="68"/>
        <v>2.2615661354208227E-5</v>
      </c>
      <c r="T103">
        <f t="shared" si="64"/>
        <v>1.9390411952223435E-5</v>
      </c>
    </row>
    <row r="104" spans="1:20" x14ac:dyDescent="0.2">
      <c r="A104">
        <v>570.1</v>
      </c>
      <c r="B104">
        <f t="shared" si="67"/>
        <v>448</v>
      </c>
      <c r="C104">
        <f t="shared" ref="C104:R119" si="69">C$8*10^-5+C$9*10^-8*$B104+C$10*$B104^-2</f>
        <v>4.8981555697704084E-5</v>
      </c>
      <c r="D104">
        <f t="shared" si="69"/>
        <v>-4.4000000000000002E-6</v>
      </c>
      <c r="E104">
        <f t="shared" si="69"/>
        <v>3.4E-5</v>
      </c>
      <c r="F104">
        <f t="shared" si="69"/>
        <v>1.9447237346938776E-5</v>
      </c>
      <c r="G104">
        <f t="shared" si="69"/>
        <v>1.2498641633928573E-5</v>
      </c>
      <c r="H104">
        <f t="shared" si="69"/>
        <v>3.5370000000000002E-5</v>
      </c>
      <c r="I104">
        <f t="shared" si="69"/>
        <v>5.8E-5</v>
      </c>
      <c r="J104">
        <f t="shared" si="69"/>
        <v>3.7000000000000005E-5</v>
      </c>
      <c r="K104">
        <f t="shared" si="69"/>
        <v>2.5350960000000002E-5</v>
      </c>
      <c r="L104">
        <f t="shared" si="69"/>
        <v>3.3300000000000003E-5</v>
      </c>
      <c r="M104">
        <f t="shared" si="69"/>
        <v>2.9800000000000003E-5</v>
      </c>
      <c r="N104">
        <f t="shared" si="69"/>
        <v>3.2278528000000003E-5</v>
      </c>
      <c r="O104">
        <f t="shared" si="69"/>
        <v>2.8750000000000001E-5</v>
      </c>
      <c r="P104">
        <f t="shared" si="69"/>
        <v>3.1141578201530619E-5</v>
      </c>
      <c r="Q104">
        <f t="shared" si="69"/>
        <v>2.8767348482142859E-5</v>
      </c>
      <c r="R104">
        <f t="shared" si="69"/>
        <v>2.6947200000000002E-5</v>
      </c>
      <c r="S104">
        <f t="shared" si="68"/>
        <v>2.3517246864795918E-5</v>
      </c>
      <c r="T104">
        <f t="shared" si="64"/>
        <v>2.0672113654336737E-5</v>
      </c>
    </row>
    <row r="105" spans="1:20" x14ac:dyDescent="0.2">
      <c r="A105">
        <v>570.1</v>
      </c>
      <c r="B105">
        <f t="shared" si="67"/>
        <v>498</v>
      </c>
      <c r="C105">
        <f t="shared" si="69"/>
        <v>5.5423496771632715E-5</v>
      </c>
      <c r="D105">
        <f t="shared" si="69"/>
        <v>-4.4000000000000002E-6</v>
      </c>
      <c r="E105">
        <f t="shared" si="69"/>
        <v>3.4E-5</v>
      </c>
      <c r="F105">
        <f t="shared" si="69"/>
        <v>2.0877949603554783E-5</v>
      </c>
      <c r="G105">
        <f t="shared" si="69"/>
        <v>1.247524230776923E-5</v>
      </c>
      <c r="H105">
        <f t="shared" si="69"/>
        <v>3.5370000000000002E-5</v>
      </c>
      <c r="I105">
        <f t="shared" si="69"/>
        <v>5.8E-5</v>
      </c>
      <c r="J105">
        <f t="shared" si="69"/>
        <v>3.7000000000000005E-5</v>
      </c>
      <c r="K105">
        <f t="shared" si="69"/>
        <v>2.5864460000000003E-5</v>
      </c>
      <c r="L105">
        <f t="shared" si="69"/>
        <v>3.3300000000000003E-5</v>
      </c>
      <c r="M105">
        <f t="shared" si="69"/>
        <v>2.9800000000000003E-5</v>
      </c>
      <c r="N105">
        <f t="shared" si="69"/>
        <v>3.2564078000000002E-5</v>
      </c>
      <c r="O105">
        <f t="shared" si="69"/>
        <v>2.8750000000000001E-5</v>
      </c>
      <c r="P105">
        <f t="shared" si="69"/>
        <v>3.2010671438202618E-5</v>
      </c>
      <c r="Q105">
        <f t="shared" si="69"/>
        <v>2.9393072401090306E-5</v>
      </c>
      <c r="R105">
        <f t="shared" si="69"/>
        <v>2.7767200000000001E-5</v>
      </c>
      <c r="S105">
        <f t="shared" si="68"/>
        <v>2.424627880337414E-5</v>
      </c>
      <c r="T105">
        <f t="shared" si="64"/>
        <v>2.1760994914920731E-5</v>
      </c>
    </row>
    <row r="106" spans="1:20" x14ac:dyDescent="0.2">
      <c r="A106">
        <v>570.1</v>
      </c>
      <c r="B106">
        <f t="shared" si="67"/>
        <v>548</v>
      </c>
      <c r="C106">
        <f t="shared" si="69"/>
        <v>6.1444448631893005E-5</v>
      </c>
      <c r="D106">
        <f t="shared" si="69"/>
        <v>-4.4000000000000002E-6</v>
      </c>
      <c r="E106">
        <f t="shared" si="69"/>
        <v>3.4E-5</v>
      </c>
      <c r="F106">
        <f t="shared" si="69"/>
        <v>2.2066580040492303E-5</v>
      </c>
      <c r="G106">
        <f t="shared" si="69"/>
        <v>1.2455836339495979E-5</v>
      </c>
      <c r="H106">
        <f t="shared" si="69"/>
        <v>3.5370000000000002E-5</v>
      </c>
      <c r="I106">
        <f t="shared" si="69"/>
        <v>5.8E-5</v>
      </c>
      <c r="J106">
        <f t="shared" si="69"/>
        <v>3.7000000000000005E-5</v>
      </c>
      <c r="K106">
        <f t="shared" si="69"/>
        <v>2.6377960000000001E-5</v>
      </c>
      <c r="L106">
        <f t="shared" si="69"/>
        <v>3.3300000000000003E-5</v>
      </c>
      <c r="M106">
        <f t="shared" si="69"/>
        <v>2.9800000000000003E-5</v>
      </c>
      <c r="N106">
        <f t="shared" si="69"/>
        <v>3.2849628000000001E-5</v>
      </c>
      <c r="O106">
        <f t="shared" si="69"/>
        <v>2.8750000000000001E-5</v>
      </c>
      <c r="P106">
        <f t="shared" si="69"/>
        <v>3.2784469761841341E-5</v>
      </c>
      <c r="Q106">
        <f t="shared" si="69"/>
        <v>3.00059481250999E-5</v>
      </c>
      <c r="R106">
        <f t="shared" si="69"/>
        <v>2.8587200000000003E-5</v>
      </c>
      <c r="S106">
        <f t="shared" si="68"/>
        <v>2.4862752617187918E-5</v>
      </c>
      <c r="T106">
        <f t="shared" si="64"/>
        <v>2.2724097803825458E-5</v>
      </c>
    </row>
    <row r="107" spans="1:20" x14ac:dyDescent="0.2">
      <c r="A107">
        <v>570.1</v>
      </c>
      <c r="B107">
        <f t="shared" si="67"/>
        <v>598</v>
      </c>
      <c r="C107">
        <f t="shared" si="69"/>
        <v>6.7179126437489508E-5</v>
      </c>
      <c r="D107">
        <f t="shared" si="69"/>
        <v>-4.4000000000000002E-6</v>
      </c>
      <c r="E107">
        <f t="shared" si="69"/>
        <v>3.4E-5</v>
      </c>
      <c r="F107">
        <f t="shared" si="69"/>
        <v>2.3090594041118109E-5</v>
      </c>
      <c r="G107">
        <f t="shared" si="69"/>
        <v>1.2439145867764344E-5</v>
      </c>
      <c r="H107">
        <f t="shared" si="69"/>
        <v>3.5370000000000002E-5</v>
      </c>
      <c r="I107">
        <f t="shared" si="69"/>
        <v>5.8E-5</v>
      </c>
      <c r="J107">
        <f t="shared" si="69"/>
        <v>3.7000000000000005E-5</v>
      </c>
      <c r="K107">
        <f t="shared" si="69"/>
        <v>2.6891460000000002E-5</v>
      </c>
      <c r="L107">
        <f t="shared" si="69"/>
        <v>3.3300000000000003E-5</v>
      </c>
      <c r="M107">
        <f t="shared" si="69"/>
        <v>2.9800000000000003E-5</v>
      </c>
      <c r="N107">
        <f t="shared" si="69"/>
        <v>3.3135178000000007E-5</v>
      </c>
      <c r="O107">
        <f t="shared" si="69"/>
        <v>2.8750000000000001E-5</v>
      </c>
      <c r="P107">
        <f t="shared" si="69"/>
        <v>3.3493467230120478E-5</v>
      </c>
      <c r="Q107">
        <f t="shared" si="69"/>
        <v>3.0610087034149507E-5</v>
      </c>
      <c r="R107">
        <f t="shared" si="69"/>
        <v>2.9407199999999999E-5</v>
      </c>
      <c r="S107">
        <f t="shared" si="68"/>
        <v>2.5402686534692006E-5</v>
      </c>
      <c r="T107">
        <f t="shared" si="64"/>
        <v>2.3601670984888314E-5</v>
      </c>
    </row>
    <row r="108" spans="1:20" x14ac:dyDescent="0.2">
      <c r="A108">
        <v>570.1</v>
      </c>
      <c r="B108">
        <f t="shared" si="67"/>
        <v>648</v>
      </c>
      <c r="C108">
        <f t="shared" si="69"/>
        <v>7.2712373611949407E-5</v>
      </c>
      <c r="D108">
        <f t="shared" si="69"/>
        <v>-4.4000000000000002E-6</v>
      </c>
      <c r="E108">
        <f t="shared" si="69"/>
        <v>3.4E-5</v>
      </c>
      <c r="F108">
        <f t="shared" si="69"/>
        <v>2.3998779198292944E-5</v>
      </c>
      <c r="G108">
        <f t="shared" si="69"/>
        <v>1.2424366097241276E-5</v>
      </c>
      <c r="H108">
        <f t="shared" si="69"/>
        <v>3.5370000000000002E-5</v>
      </c>
      <c r="I108">
        <f t="shared" si="69"/>
        <v>5.8E-5</v>
      </c>
      <c r="J108">
        <f t="shared" si="69"/>
        <v>3.7000000000000005E-5</v>
      </c>
      <c r="K108">
        <f t="shared" si="69"/>
        <v>2.7404960000000003E-5</v>
      </c>
      <c r="L108">
        <f t="shared" si="69"/>
        <v>3.3300000000000003E-5</v>
      </c>
      <c r="M108">
        <f t="shared" si="69"/>
        <v>2.9800000000000003E-5</v>
      </c>
      <c r="N108">
        <f t="shared" si="69"/>
        <v>3.3420728000000007E-5</v>
      </c>
      <c r="O108">
        <f t="shared" si="69"/>
        <v>2.8750000000000001E-5</v>
      </c>
      <c r="P108">
        <f t="shared" si="69"/>
        <v>3.4156868959000163E-5</v>
      </c>
      <c r="Q108">
        <f t="shared" si="69"/>
        <v>3.1208078469745462E-5</v>
      </c>
      <c r="R108">
        <f t="shared" si="69"/>
        <v>3.0227200000000001E-5</v>
      </c>
      <c r="S108">
        <f t="shared" si="68"/>
        <v>2.5888764787075141E-5</v>
      </c>
      <c r="T108">
        <f t="shared" si="64"/>
        <v>2.4419063011736021E-5</v>
      </c>
    </row>
    <row r="109" spans="1:20" x14ac:dyDescent="0.2">
      <c r="A109">
        <v>570.1</v>
      </c>
      <c r="B109">
        <f t="shared" si="67"/>
        <v>698</v>
      </c>
      <c r="C109">
        <f t="shared" si="69"/>
        <v>7.8099781709000752E-5</v>
      </c>
      <c r="D109">
        <f t="shared" si="69"/>
        <v>-4.4000000000000002E-6</v>
      </c>
      <c r="E109">
        <f t="shared" si="69"/>
        <v>3.4E-5</v>
      </c>
      <c r="F109">
        <f t="shared" si="69"/>
        <v>2.4823102374939454E-5</v>
      </c>
      <c r="G109">
        <f t="shared" si="69"/>
        <v>1.2410969705700283E-5</v>
      </c>
      <c r="H109">
        <f t="shared" si="69"/>
        <v>3.5370000000000002E-5</v>
      </c>
      <c r="I109">
        <f t="shared" si="69"/>
        <v>5.8E-5</v>
      </c>
      <c r="J109">
        <f t="shared" si="69"/>
        <v>3.7000000000000005E-5</v>
      </c>
      <c r="K109">
        <f t="shared" si="69"/>
        <v>2.7918460000000001E-5</v>
      </c>
      <c r="L109">
        <f t="shared" si="69"/>
        <v>3.3300000000000003E-5</v>
      </c>
      <c r="M109">
        <f t="shared" si="69"/>
        <v>2.9800000000000003E-5</v>
      </c>
      <c r="N109">
        <f t="shared" si="69"/>
        <v>3.3706278000000006E-5</v>
      </c>
      <c r="O109">
        <f t="shared" si="69"/>
        <v>2.8750000000000001E-5</v>
      </c>
      <c r="P109">
        <f t="shared" si="69"/>
        <v>3.4787258625462847E-5</v>
      </c>
      <c r="Q109">
        <f t="shared" si="69"/>
        <v>3.180161903383388E-5</v>
      </c>
      <c r="R109">
        <f t="shared" si="69"/>
        <v>3.1047200000000003E-5</v>
      </c>
      <c r="S109">
        <f t="shared" si="68"/>
        <v>2.6335850655479021E-5</v>
      </c>
      <c r="T109">
        <f t="shared" si="64"/>
        <v>2.5192882896856348E-5</v>
      </c>
    </row>
    <row r="110" spans="1:20" x14ac:dyDescent="0.2">
      <c r="A110">
        <v>570.1</v>
      </c>
      <c r="B110">
        <f t="shared" si="67"/>
        <v>748</v>
      </c>
      <c r="C110">
        <f t="shared" si="69"/>
        <v>8.337900825794274E-5</v>
      </c>
      <c r="D110">
        <f t="shared" si="69"/>
        <v>-4.4000000000000002E-6</v>
      </c>
      <c r="E110">
        <f t="shared" si="69"/>
        <v>3.4E-5</v>
      </c>
      <c r="F110">
        <f t="shared" si="69"/>
        <v>2.5585217815207758E-5</v>
      </c>
      <c r="G110">
        <f t="shared" si="69"/>
        <v>1.239859948685979E-5</v>
      </c>
      <c r="H110">
        <f t="shared" si="69"/>
        <v>3.5370000000000002E-5</v>
      </c>
      <c r="I110">
        <f t="shared" si="69"/>
        <v>5.8E-5</v>
      </c>
      <c r="J110">
        <f t="shared" si="69"/>
        <v>3.7000000000000005E-5</v>
      </c>
      <c r="K110">
        <f t="shared" si="69"/>
        <v>2.8431960000000002E-5</v>
      </c>
      <c r="L110">
        <f t="shared" si="69"/>
        <v>3.3300000000000003E-5</v>
      </c>
      <c r="M110">
        <f t="shared" si="69"/>
        <v>2.9800000000000003E-5</v>
      </c>
      <c r="N110">
        <f t="shared" si="69"/>
        <v>3.3991828000000005E-5</v>
      </c>
      <c r="O110">
        <f t="shared" si="69"/>
        <v>2.8750000000000001E-5</v>
      </c>
      <c r="P110">
        <f t="shared" si="69"/>
        <v>3.5393160369470102E-5</v>
      </c>
      <c r="Q110">
        <f t="shared" si="69"/>
        <v>3.2391857998798937E-5</v>
      </c>
      <c r="R110">
        <f t="shared" si="69"/>
        <v>3.1867199999999999E-5</v>
      </c>
      <c r="S110">
        <f t="shared" si="68"/>
        <v>2.6754012475964426E-5</v>
      </c>
      <c r="T110">
        <f t="shared" si="64"/>
        <v>2.593438152878264E-5</v>
      </c>
    </row>
    <row r="111" spans="1:20" x14ac:dyDescent="0.2">
      <c r="A111">
        <v>570.1</v>
      </c>
      <c r="B111">
        <f t="shared" si="67"/>
        <v>798</v>
      </c>
      <c r="C111">
        <f t="shared" si="69"/>
        <v>8.8576296701892561E-5</v>
      </c>
      <c r="D111">
        <f t="shared" si="69"/>
        <v>-4.4000000000000002E-6</v>
      </c>
      <c r="E111">
        <f t="shared" si="69"/>
        <v>3.4E-5</v>
      </c>
      <c r="F111">
        <f t="shared" si="69"/>
        <v>2.6300216310638752E-5</v>
      </c>
      <c r="G111">
        <f t="shared" si="69"/>
        <v>1.2387006504506882E-5</v>
      </c>
      <c r="H111">
        <f t="shared" si="69"/>
        <v>3.5370000000000002E-5</v>
      </c>
      <c r="I111">
        <f t="shared" si="69"/>
        <v>5.8E-5</v>
      </c>
      <c r="J111">
        <f t="shared" si="69"/>
        <v>3.7000000000000005E-5</v>
      </c>
      <c r="K111">
        <f t="shared" si="69"/>
        <v>2.894546E-5</v>
      </c>
      <c r="L111">
        <f t="shared" si="69"/>
        <v>3.3300000000000003E-5</v>
      </c>
      <c r="M111">
        <f t="shared" si="69"/>
        <v>2.9800000000000003E-5</v>
      </c>
      <c r="N111">
        <f t="shared" si="69"/>
        <v>3.4277378000000005E-5</v>
      </c>
      <c r="O111">
        <f t="shared" si="69"/>
        <v>2.8750000000000001E-5</v>
      </c>
      <c r="P111">
        <f t="shared" si="69"/>
        <v>3.5980514644003497E-5</v>
      </c>
      <c r="Q111">
        <f t="shared" si="69"/>
        <v>3.2979596289847432E-5</v>
      </c>
      <c r="R111">
        <f t="shared" si="69"/>
        <v>3.2687200000000001E-5</v>
      </c>
      <c r="S111">
        <f t="shared" si="68"/>
        <v>2.7150266848122815E-5</v>
      </c>
      <c r="T111">
        <f t="shared" si="64"/>
        <v>2.6651399625127985E-5</v>
      </c>
    </row>
    <row r="112" spans="1:20" x14ac:dyDescent="0.2">
      <c r="A112">
        <v>570.1</v>
      </c>
      <c r="B112">
        <f t="shared" si="67"/>
        <v>848</v>
      </c>
      <c r="C112">
        <f t="shared" si="69"/>
        <v>9.3710389628693495E-5</v>
      </c>
      <c r="D112">
        <f t="shared" si="69"/>
        <v>-4.4000000000000002E-6</v>
      </c>
      <c r="E112">
        <f t="shared" si="69"/>
        <v>3.4E-5</v>
      </c>
      <c r="F112">
        <f t="shared" si="69"/>
        <v>2.6978875428978286E-5</v>
      </c>
      <c r="G112">
        <f t="shared" si="69"/>
        <v>1.2376012972944108E-5</v>
      </c>
      <c r="H112">
        <f t="shared" si="69"/>
        <v>3.5370000000000002E-5</v>
      </c>
      <c r="I112">
        <f t="shared" si="69"/>
        <v>5.8E-5</v>
      </c>
      <c r="J112">
        <f t="shared" si="69"/>
        <v>3.7000000000000005E-5</v>
      </c>
      <c r="K112">
        <f t="shared" si="69"/>
        <v>2.9458960000000001E-5</v>
      </c>
      <c r="L112">
        <f t="shared" si="69"/>
        <v>3.3300000000000003E-5</v>
      </c>
      <c r="M112">
        <f t="shared" si="69"/>
        <v>2.9800000000000003E-5</v>
      </c>
      <c r="N112">
        <f t="shared" si="69"/>
        <v>3.4562928000000004E-5</v>
      </c>
      <c r="O112">
        <f t="shared" si="69"/>
        <v>2.8750000000000001E-5</v>
      </c>
      <c r="P112">
        <f t="shared" si="69"/>
        <v>3.6553564012103955E-5</v>
      </c>
      <c r="Q112">
        <f t="shared" si="69"/>
        <v>3.356540591313635E-5</v>
      </c>
      <c r="R112">
        <f t="shared" si="69"/>
        <v>3.3507200000000003E-5</v>
      </c>
      <c r="S112">
        <f t="shared" si="68"/>
        <v>2.7529624899252404E-5</v>
      </c>
      <c r="T112">
        <f t="shared" si="64"/>
        <v>2.734953688323247E-5</v>
      </c>
    </row>
    <row r="113" spans="1:20" x14ac:dyDescent="0.2">
      <c r="A113">
        <v>570.1</v>
      </c>
      <c r="B113">
        <f t="shared" si="67"/>
        <v>898</v>
      </c>
      <c r="C113">
        <f t="shared" si="69"/>
        <v>9.879496173400926E-5</v>
      </c>
      <c r="D113">
        <f t="shared" si="69"/>
        <v>-4.4000000000000002E-6</v>
      </c>
      <c r="E113">
        <f t="shared" si="69"/>
        <v>3.4E-5</v>
      </c>
      <c r="F113">
        <f t="shared" si="69"/>
        <v>2.7629058543211592E-5</v>
      </c>
      <c r="G113">
        <f t="shared" si="69"/>
        <v>1.2365489178744154E-5</v>
      </c>
      <c r="H113">
        <f t="shared" si="69"/>
        <v>3.5370000000000002E-5</v>
      </c>
      <c r="I113">
        <f t="shared" si="69"/>
        <v>5.8E-5</v>
      </c>
      <c r="J113">
        <f t="shared" si="69"/>
        <v>3.7000000000000005E-5</v>
      </c>
      <c r="K113">
        <f t="shared" si="69"/>
        <v>2.9972460000000002E-5</v>
      </c>
      <c r="L113">
        <f t="shared" si="69"/>
        <v>3.3300000000000003E-5</v>
      </c>
      <c r="M113">
        <f t="shared" si="69"/>
        <v>2.9800000000000003E-5</v>
      </c>
      <c r="N113">
        <f t="shared" si="69"/>
        <v>3.4848478000000003E-5</v>
      </c>
      <c r="O113">
        <f t="shared" si="69"/>
        <v>2.8750000000000001E-5</v>
      </c>
      <c r="P113">
        <f t="shared" si="69"/>
        <v>3.7115403871210963E-5</v>
      </c>
      <c r="Q113">
        <f t="shared" si="69"/>
        <v>3.4149704207518817E-5</v>
      </c>
      <c r="R113">
        <f t="shared" si="69"/>
        <v>3.4327199999999999E-5</v>
      </c>
      <c r="S113">
        <f t="shared" si="68"/>
        <v>2.7895742775521946E-5</v>
      </c>
      <c r="T113">
        <f t="shared" si="64"/>
        <v>2.8032878873219876E-5</v>
      </c>
    </row>
    <row r="114" spans="1:20" x14ac:dyDescent="0.2">
      <c r="A114">
        <v>570.1</v>
      </c>
      <c r="B114">
        <f t="shared" si="67"/>
        <v>948</v>
      </c>
      <c r="C114">
        <f t="shared" si="69"/>
        <v>1.0384017951489256E-4</v>
      </c>
      <c r="D114">
        <f t="shared" si="69"/>
        <v>-4.4000000000000002E-6</v>
      </c>
      <c r="E114">
        <f t="shared" si="69"/>
        <v>3.4E-5</v>
      </c>
      <c r="F114">
        <f t="shared" si="69"/>
        <v>2.8256611703608755E-5</v>
      </c>
      <c r="G114">
        <f t="shared" si="69"/>
        <v>1.2355338686036782E-5</v>
      </c>
      <c r="H114">
        <f t="shared" si="69"/>
        <v>3.5370000000000002E-5</v>
      </c>
      <c r="I114">
        <f t="shared" si="69"/>
        <v>5.8E-5</v>
      </c>
      <c r="J114">
        <f t="shared" si="69"/>
        <v>3.7000000000000005E-5</v>
      </c>
      <c r="K114">
        <f t="shared" si="69"/>
        <v>3.0485960000000003E-5</v>
      </c>
      <c r="L114">
        <f t="shared" si="69"/>
        <v>3.3300000000000003E-5</v>
      </c>
      <c r="M114">
        <f t="shared" si="69"/>
        <v>2.9800000000000003E-5</v>
      </c>
      <c r="N114">
        <f t="shared" si="69"/>
        <v>3.5134028000000003E-5</v>
      </c>
      <c r="O114">
        <f t="shared" si="69"/>
        <v>2.8750000000000001E-5</v>
      </c>
      <c r="P114">
        <f t="shared" si="69"/>
        <v>3.7668335504637797E-5</v>
      </c>
      <c r="Q114">
        <f t="shared" si="69"/>
        <v>3.473280144492514E-5</v>
      </c>
      <c r="R114">
        <f t="shared" si="69"/>
        <v>3.5147200000000001E-5</v>
      </c>
      <c r="S114">
        <f t="shared" si="68"/>
        <v>2.8251338650714809E-5</v>
      </c>
      <c r="T114">
        <f t="shared" si="64"/>
        <v>2.8704463025512295E-5</v>
      </c>
    </row>
    <row r="115" spans="1:20" x14ac:dyDescent="0.2">
      <c r="A115">
        <v>1140.0999999999999</v>
      </c>
      <c r="B115">
        <v>298</v>
      </c>
      <c r="C115">
        <f t="shared" si="69"/>
        <v>2.3838260201702627E-5</v>
      </c>
      <c r="D115">
        <f t="shared" si="69"/>
        <v>-4.4000000000000002E-6</v>
      </c>
      <c r="E115">
        <f t="shared" si="69"/>
        <v>3.4E-5</v>
      </c>
      <c r="F115">
        <f t="shared" si="69"/>
        <v>1.1809874076392959E-5</v>
      </c>
      <c r="G115">
        <f t="shared" si="69"/>
        <v>1.2624022139723436E-5</v>
      </c>
      <c r="H115">
        <f t="shared" si="69"/>
        <v>3.5370000000000002E-5</v>
      </c>
      <c r="I115">
        <f t="shared" si="69"/>
        <v>5.8E-5</v>
      </c>
      <c r="J115">
        <f t="shared" si="69"/>
        <v>3.7000000000000005E-5</v>
      </c>
      <c r="K115">
        <f t="shared" si="69"/>
        <v>2.3810460000000002E-5</v>
      </c>
      <c r="L115">
        <f t="shared" si="69"/>
        <v>3.3300000000000003E-5</v>
      </c>
      <c r="M115">
        <f t="shared" si="69"/>
        <v>2.9800000000000003E-5</v>
      </c>
      <c r="N115">
        <f t="shared" si="69"/>
        <v>3.1421878000000005E-5</v>
      </c>
      <c r="O115">
        <f t="shared" si="69"/>
        <v>2.8750000000000001E-5</v>
      </c>
      <c r="P115">
        <f t="shared" si="69"/>
        <v>2.7217458305481738E-5</v>
      </c>
      <c r="Q115">
        <f t="shared" si="69"/>
        <v>2.6712632941759379E-5</v>
      </c>
      <c r="R115">
        <f t="shared" si="69"/>
        <v>2.4487200000000002E-5</v>
      </c>
      <c r="S115">
        <f t="shared" si="68"/>
        <v>1.9774757825683527E-5</v>
      </c>
      <c r="T115">
        <f t="shared" si="64"/>
        <v>1.5667391636412778E-5</v>
      </c>
    </row>
    <row r="116" spans="1:20" x14ac:dyDescent="0.2">
      <c r="A116">
        <v>1140.0999999999999</v>
      </c>
      <c r="B116">
        <f t="shared" ref="B116:B128" si="70">B115+50</f>
        <v>348</v>
      </c>
      <c r="C116">
        <f t="shared" si="69"/>
        <v>3.3764961417888759E-5</v>
      </c>
      <c r="D116">
        <f t="shared" si="69"/>
        <v>-4.4000000000000002E-6</v>
      </c>
      <c r="E116">
        <f t="shared" si="69"/>
        <v>3.4E-5</v>
      </c>
      <c r="F116">
        <f t="shared" si="69"/>
        <v>1.5244431203593609E-5</v>
      </c>
      <c r="G116">
        <f t="shared" si="69"/>
        <v>1.2567567585678427E-5</v>
      </c>
      <c r="H116">
        <f t="shared" si="69"/>
        <v>3.5370000000000002E-5</v>
      </c>
      <c r="I116">
        <f t="shared" si="69"/>
        <v>5.8E-5</v>
      </c>
      <c r="J116">
        <f t="shared" si="69"/>
        <v>3.7000000000000005E-5</v>
      </c>
      <c r="K116">
        <f t="shared" si="69"/>
        <v>2.4323960000000004E-5</v>
      </c>
      <c r="L116">
        <f t="shared" si="69"/>
        <v>3.3300000000000003E-5</v>
      </c>
      <c r="M116">
        <f t="shared" si="69"/>
        <v>2.9800000000000003E-5</v>
      </c>
      <c r="N116">
        <f t="shared" si="69"/>
        <v>3.1707428000000004E-5</v>
      </c>
      <c r="O116">
        <f t="shared" si="69"/>
        <v>2.8750000000000001E-5</v>
      </c>
      <c r="P116">
        <f t="shared" si="69"/>
        <v>2.8875360147971996E-5</v>
      </c>
      <c r="Q116">
        <f t="shared" si="69"/>
        <v>2.7444708463469419E-5</v>
      </c>
      <c r="R116">
        <f t="shared" si="69"/>
        <v>2.5307200000000001E-5</v>
      </c>
      <c r="S116">
        <f t="shared" si="68"/>
        <v>2.143549550429383E-5</v>
      </c>
      <c r="T116">
        <f t="shared" si="64"/>
        <v>1.7797409919408112E-5</v>
      </c>
    </row>
    <row r="117" spans="1:20" x14ac:dyDescent="0.2">
      <c r="A117">
        <v>1140.0999999999999</v>
      </c>
      <c r="B117">
        <f t="shared" si="70"/>
        <v>398</v>
      </c>
      <c r="C117">
        <f t="shared" si="69"/>
        <v>4.1894230803212041E-5</v>
      </c>
      <c r="D117">
        <f t="shared" si="69"/>
        <v>-4.4000000000000002E-6</v>
      </c>
      <c r="E117">
        <f t="shared" si="69"/>
        <v>3.4E-5</v>
      </c>
      <c r="F117">
        <f t="shared" si="69"/>
        <v>1.7645409430822455E-5</v>
      </c>
      <c r="G117">
        <f t="shared" si="69"/>
        <v>1.2528162847503853E-5</v>
      </c>
      <c r="H117">
        <f t="shared" si="69"/>
        <v>3.5370000000000002E-5</v>
      </c>
      <c r="I117">
        <f t="shared" si="69"/>
        <v>5.8E-5</v>
      </c>
      <c r="J117">
        <f t="shared" si="69"/>
        <v>3.7000000000000005E-5</v>
      </c>
      <c r="K117">
        <f t="shared" si="69"/>
        <v>2.4837460000000001E-5</v>
      </c>
      <c r="L117">
        <f t="shared" si="69"/>
        <v>3.3300000000000003E-5</v>
      </c>
      <c r="M117">
        <f t="shared" si="69"/>
        <v>2.9800000000000003E-5</v>
      </c>
      <c r="N117">
        <f t="shared" si="69"/>
        <v>3.1992978000000003E-5</v>
      </c>
      <c r="O117">
        <f t="shared" si="69"/>
        <v>2.8750000000000001E-5</v>
      </c>
      <c r="P117">
        <f t="shared" si="69"/>
        <v>3.0126396198075811E-5</v>
      </c>
      <c r="Q117">
        <f t="shared" si="69"/>
        <v>2.8121928055857177E-5</v>
      </c>
      <c r="R117">
        <f t="shared" si="69"/>
        <v>2.6127200000000003E-5</v>
      </c>
      <c r="S117">
        <f t="shared" si="68"/>
        <v>2.2615661354208227E-5</v>
      </c>
      <c r="T117">
        <f t="shared" si="64"/>
        <v>1.9390411952223435E-5</v>
      </c>
    </row>
    <row r="118" spans="1:20" x14ac:dyDescent="0.2">
      <c r="A118">
        <v>1140.0999999999999</v>
      </c>
      <c r="B118">
        <f t="shared" si="70"/>
        <v>448</v>
      </c>
      <c r="C118">
        <f t="shared" si="69"/>
        <v>4.8981555697704084E-5</v>
      </c>
      <c r="D118">
        <f t="shared" si="69"/>
        <v>-4.4000000000000002E-6</v>
      </c>
      <c r="E118">
        <f t="shared" si="69"/>
        <v>3.4E-5</v>
      </c>
      <c r="F118">
        <f t="shared" si="69"/>
        <v>1.9447237346938776E-5</v>
      </c>
      <c r="G118">
        <f t="shared" si="69"/>
        <v>1.2498641633928573E-5</v>
      </c>
      <c r="H118">
        <f t="shared" si="69"/>
        <v>3.5370000000000002E-5</v>
      </c>
      <c r="I118">
        <f t="shared" si="69"/>
        <v>5.8E-5</v>
      </c>
      <c r="J118">
        <f t="shared" si="69"/>
        <v>3.7000000000000005E-5</v>
      </c>
      <c r="K118">
        <f t="shared" si="69"/>
        <v>2.5350960000000002E-5</v>
      </c>
      <c r="L118">
        <f t="shared" si="69"/>
        <v>3.3300000000000003E-5</v>
      </c>
      <c r="M118">
        <f t="shared" si="69"/>
        <v>2.9800000000000003E-5</v>
      </c>
      <c r="N118">
        <f t="shared" si="69"/>
        <v>3.2278528000000003E-5</v>
      </c>
      <c r="O118">
        <f t="shared" si="69"/>
        <v>2.8750000000000001E-5</v>
      </c>
      <c r="P118">
        <f t="shared" si="69"/>
        <v>3.1141578201530619E-5</v>
      </c>
      <c r="Q118">
        <f t="shared" si="69"/>
        <v>2.8767348482142859E-5</v>
      </c>
      <c r="R118">
        <f t="shared" si="69"/>
        <v>2.6947200000000002E-5</v>
      </c>
      <c r="S118">
        <f t="shared" si="68"/>
        <v>2.3517246864795918E-5</v>
      </c>
      <c r="T118">
        <f t="shared" si="64"/>
        <v>2.0672113654336737E-5</v>
      </c>
    </row>
    <row r="119" spans="1:20" x14ac:dyDescent="0.2">
      <c r="A119">
        <v>1140.0999999999999</v>
      </c>
      <c r="B119">
        <f t="shared" si="70"/>
        <v>498</v>
      </c>
      <c r="C119">
        <f t="shared" si="69"/>
        <v>5.5423496771632715E-5</v>
      </c>
      <c r="D119">
        <f t="shared" si="69"/>
        <v>-4.4000000000000002E-6</v>
      </c>
      <c r="E119">
        <f t="shared" si="69"/>
        <v>3.4E-5</v>
      </c>
      <c r="F119">
        <f t="shared" si="69"/>
        <v>2.0877949603554783E-5</v>
      </c>
      <c r="G119">
        <f t="shared" si="69"/>
        <v>1.247524230776923E-5</v>
      </c>
      <c r="H119">
        <f t="shared" si="69"/>
        <v>3.5370000000000002E-5</v>
      </c>
      <c r="I119">
        <f t="shared" si="69"/>
        <v>5.8E-5</v>
      </c>
      <c r="J119">
        <f t="shared" si="69"/>
        <v>3.7000000000000005E-5</v>
      </c>
      <c r="K119">
        <f t="shared" si="69"/>
        <v>2.5864460000000003E-5</v>
      </c>
      <c r="L119">
        <f t="shared" si="69"/>
        <v>3.3300000000000003E-5</v>
      </c>
      <c r="M119">
        <f t="shared" si="69"/>
        <v>2.9800000000000003E-5</v>
      </c>
      <c r="N119">
        <f t="shared" si="69"/>
        <v>3.2564078000000002E-5</v>
      </c>
      <c r="O119">
        <f t="shared" si="69"/>
        <v>2.8750000000000001E-5</v>
      </c>
      <c r="P119">
        <f t="shared" si="69"/>
        <v>3.2010671438202618E-5</v>
      </c>
      <c r="Q119">
        <f t="shared" si="69"/>
        <v>2.9393072401090306E-5</v>
      </c>
      <c r="R119">
        <f t="shared" ref="R119:S142" si="71">R$8*10^-5+R$9*10^-8*$B119+R$10*$B119^-2</f>
        <v>2.7767200000000001E-5</v>
      </c>
      <c r="S119">
        <f t="shared" si="68"/>
        <v>2.424627880337414E-5</v>
      </c>
      <c r="T119">
        <f t="shared" si="64"/>
        <v>2.1760994914920731E-5</v>
      </c>
    </row>
    <row r="120" spans="1:20" x14ac:dyDescent="0.2">
      <c r="A120">
        <v>1140.0999999999999</v>
      </c>
      <c r="B120">
        <f t="shared" si="70"/>
        <v>548</v>
      </c>
      <c r="C120">
        <f t="shared" ref="C120:Q135" si="72">C$8*10^-5+C$9*10^-8*$B120+C$10*$B120^-2</f>
        <v>6.1444448631893005E-5</v>
      </c>
      <c r="D120">
        <f t="shared" si="72"/>
        <v>-4.4000000000000002E-6</v>
      </c>
      <c r="E120">
        <f t="shared" si="72"/>
        <v>3.4E-5</v>
      </c>
      <c r="F120">
        <f t="shared" si="72"/>
        <v>2.2066580040492303E-5</v>
      </c>
      <c r="G120">
        <f t="shared" si="72"/>
        <v>1.2455836339495979E-5</v>
      </c>
      <c r="H120">
        <f t="shared" si="72"/>
        <v>3.5370000000000002E-5</v>
      </c>
      <c r="I120">
        <f t="shared" si="72"/>
        <v>5.8E-5</v>
      </c>
      <c r="J120">
        <f t="shared" si="72"/>
        <v>3.7000000000000005E-5</v>
      </c>
      <c r="K120">
        <f t="shared" si="72"/>
        <v>2.6377960000000001E-5</v>
      </c>
      <c r="L120">
        <f t="shared" si="72"/>
        <v>3.3300000000000003E-5</v>
      </c>
      <c r="M120">
        <f t="shared" si="72"/>
        <v>2.9800000000000003E-5</v>
      </c>
      <c r="N120">
        <f t="shared" si="72"/>
        <v>3.2849628000000001E-5</v>
      </c>
      <c r="O120">
        <f t="shared" si="72"/>
        <v>2.8750000000000001E-5</v>
      </c>
      <c r="P120">
        <f t="shared" si="72"/>
        <v>3.2784469761841341E-5</v>
      </c>
      <c r="Q120">
        <f t="shared" si="72"/>
        <v>3.00059481250999E-5</v>
      </c>
      <c r="R120">
        <f t="shared" si="71"/>
        <v>2.8587200000000003E-5</v>
      </c>
      <c r="S120">
        <f t="shared" si="68"/>
        <v>2.4862752617187918E-5</v>
      </c>
      <c r="T120">
        <f t="shared" si="64"/>
        <v>2.2724097803825458E-5</v>
      </c>
    </row>
    <row r="121" spans="1:20" x14ac:dyDescent="0.2">
      <c r="A121">
        <v>1140.0999999999999</v>
      </c>
      <c r="B121">
        <f t="shared" si="70"/>
        <v>598</v>
      </c>
      <c r="C121">
        <f t="shared" si="72"/>
        <v>6.7179126437489508E-5</v>
      </c>
      <c r="D121">
        <f t="shared" si="72"/>
        <v>-4.4000000000000002E-6</v>
      </c>
      <c r="E121">
        <f t="shared" si="72"/>
        <v>3.4E-5</v>
      </c>
      <c r="F121">
        <f t="shared" si="72"/>
        <v>2.3090594041118109E-5</v>
      </c>
      <c r="G121">
        <f t="shared" si="72"/>
        <v>1.2439145867764344E-5</v>
      </c>
      <c r="H121">
        <f t="shared" si="72"/>
        <v>3.5370000000000002E-5</v>
      </c>
      <c r="I121">
        <f t="shared" si="72"/>
        <v>5.8E-5</v>
      </c>
      <c r="J121">
        <f t="shared" si="72"/>
        <v>3.7000000000000005E-5</v>
      </c>
      <c r="K121">
        <f t="shared" si="72"/>
        <v>2.6891460000000002E-5</v>
      </c>
      <c r="L121">
        <f t="shared" si="72"/>
        <v>3.3300000000000003E-5</v>
      </c>
      <c r="M121">
        <f t="shared" si="72"/>
        <v>2.9800000000000003E-5</v>
      </c>
      <c r="N121">
        <f t="shared" si="72"/>
        <v>3.3135178000000007E-5</v>
      </c>
      <c r="O121">
        <f t="shared" si="72"/>
        <v>2.8750000000000001E-5</v>
      </c>
      <c r="P121">
        <f t="shared" si="72"/>
        <v>3.3493467230120478E-5</v>
      </c>
      <c r="Q121">
        <f t="shared" si="72"/>
        <v>3.0610087034149507E-5</v>
      </c>
      <c r="R121">
        <f t="shared" si="71"/>
        <v>2.9407199999999999E-5</v>
      </c>
      <c r="S121">
        <f t="shared" si="68"/>
        <v>2.5402686534692006E-5</v>
      </c>
      <c r="T121">
        <f t="shared" si="64"/>
        <v>2.3601670984888314E-5</v>
      </c>
    </row>
    <row r="122" spans="1:20" x14ac:dyDescent="0.2">
      <c r="A122">
        <v>1140.0999999999999</v>
      </c>
      <c r="B122">
        <f t="shared" si="70"/>
        <v>648</v>
      </c>
      <c r="C122">
        <f t="shared" si="72"/>
        <v>7.2712373611949407E-5</v>
      </c>
      <c r="D122">
        <f t="shared" si="72"/>
        <v>-4.4000000000000002E-6</v>
      </c>
      <c r="E122">
        <f t="shared" si="72"/>
        <v>3.4E-5</v>
      </c>
      <c r="F122">
        <f t="shared" si="72"/>
        <v>2.3998779198292944E-5</v>
      </c>
      <c r="G122">
        <f t="shared" si="72"/>
        <v>1.2424366097241276E-5</v>
      </c>
      <c r="H122">
        <f t="shared" si="72"/>
        <v>3.5370000000000002E-5</v>
      </c>
      <c r="I122">
        <f t="shared" si="72"/>
        <v>5.8E-5</v>
      </c>
      <c r="J122">
        <f t="shared" si="72"/>
        <v>3.7000000000000005E-5</v>
      </c>
      <c r="K122">
        <f t="shared" si="72"/>
        <v>2.7404960000000003E-5</v>
      </c>
      <c r="L122">
        <f t="shared" si="72"/>
        <v>3.3300000000000003E-5</v>
      </c>
      <c r="M122">
        <f t="shared" si="72"/>
        <v>2.9800000000000003E-5</v>
      </c>
      <c r="N122">
        <f t="shared" si="72"/>
        <v>3.3420728000000007E-5</v>
      </c>
      <c r="O122">
        <f t="shared" si="72"/>
        <v>2.8750000000000001E-5</v>
      </c>
      <c r="P122">
        <f t="shared" si="72"/>
        <v>3.4156868959000163E-5</v>
      </c>
      <c r="Q122">
        <f t="shared" si="72"/>
        <v>3.1208078469745462E-5</v>
      </c>
      <c r="R122">
        <f t="shared" si="71"/>
        <v>3.0227200000000001E-5</v>
      </c>
      <c r="S122">
        <f t="shared" si="71"/>
        <v>2.5888764787075141E-5</v>
      </c>
      <c r="T122">
        <f t="shared" si="64"/>
        <v>2.4419063011736021E-5</v>
      </c>
    </row>
    <row r="123" spans="1:20" x14ac:dyDescent="0.2">
      <c r="A123">
        <v>1140.0999999999999</v>
      </c>
      <c r="B123">
        <f t="shared" si="70"/>
        <v>698</v>
      </c>
      <c r="C123">
        <f t="shared" si="72"/>
        <v>7.8099781709000752E-5</v>
      </c>
      <c r="D123">
        <f t="shared" si="72"/>
        <v>-4.4000000000000002E-6</v>
      </c>
      <c r="E123">
        <f t="shared" si="72"/>
        <v>3.4E-5</v>
      </c>
      <c r="F123">
        <f t="shared" si="72"/>
        <v>2.4823102374939454E-5</v>
      </c>
      <c r="G123">
        <f t="shared" si="72"/>
        <v>1.2410969705700283E-5</v>
      </c>
      <c r="H123">
        <f t="shared" si="72"/>
        <v>3.5370000000000002E-5</v>
      </c>
      <c r="I123">
        <f t="shared" si="72"/>
        <v>5.8E-5</v>
      </c>
      <c r="J123">
        <f t="shared" si="72"/>
        <v>3.7000000000000005E-5</v>
      </c>
      <c r="K123">
        <f t="shared" si="72"/>
        <v>2.7918460000000001E-5</v>
      </c>
      <c r="L123">
        <f t="shared" si="72"/>
        <v>3.3300000000000003E-5</v>
      </c>
      <c r="M123">
        <f t="shared" si="72"/>
        <v>2.9800000000000003E-5</v>
      </c>
      <c r="N123">
        <f t="shared" si="72"/>
        <v>3.3706278000000006E-5</v>
      </c>
      <c r="O123">
        <f t="shared" si="72"/>
        <v>2.8750000000000001E-5</v>
      </c>
      <c r="P123">
        <f t="shared" si="72"/>
        <v>3.4787258625462847E-5</v>
      </c>
      <c r="Q123">
        <f t="shared" si="72"/>
        <v>3.180161903383388E-5</v>
      </c>
      <c r="R123">
        <f t="shared" si="71"/>
        <v>3.1047200000000003E-5</v>
      </c>
      <c r="S123">
        <f t="shared" si="71"/>
        <v>2.6335850655479021E-5</v>
      </c>
      <c r="T123">
        <f t="shared" si="64"/>
        <v>2.5192882896856348E-5</v>
      </c>
    </row>
    <row r="124" spans="1:20" x14ac:dyDescent="0.2">
      <c r="A124">
        <v>1140.0999999999999</v>
      </c>
      <c r="B124">
        <f t="shared" si="70"/>
        <v>748</v>
      </c>
      <c r="C124">
        <f t="shared" si="72"/>
        <v>8.337900825794274E-5</v>
      </c>
      <c r="D124">
        <f t="shared" si="72"/>
        <v>-4.4000000000000002E-6</v>
      </c>
      <c r="E124">
        <f t="shared" si="72"/>
        <v>3.4E-5</v>
      </c>
      <c r="F124">
        <f t="shared" si="72"/>
        <v>2.5585217815207758E-5</v>
      </c>
      <c r="G124">
        <f t="shared" si="72"/>
        <v>1.239859948685979E-5</v>
      </c>
      <c r="H124">
        <f t="shared" si="72"/>
        <v>3.5370000000000002E-5</v>
      </c>
      <c r="I124">
        <f t="shared" si="72"/>
        <v>5.8E-5</v>
      </c>
      <c r="J124">
        <f t="shared" si="72"/>
        <v>3.7000000000000005E-5</v>
      </c>
      <c r="K124">
        <f t="shared" si="72"/>
        <v>2.8431960000000002E-5</v>
      </c>
      <c r="L124">
        <f t="shared" si="72"/>
        <v>3.3300000000000003E-5</v>
      </c>
      <c r="M124">
        <f t="shared" si="72"/>
        <v>2.9800000000000003E-5</v>
      </c>
      <c r="N124">
        <f t="shared" si="72"/>
        <v>3.3991828000000005E-5</v>
      </c>
      <c r="O124">
        <f t="shared" si="72"/>
        <v>2.8750000000000001E-5</v>
      </c>
      <c r="P124">
        <f t="shared" si="72"/>
        <v>3.5393160369470102E-5</v>
      </c>
      <c r="Q124">
        <f t="shared" si="72"/>
        <v>3.2391857998798937E-5</v>
      </c>
      <c r="R124">
        <f t="shared" si="71"/>
        <v>3.1867199999999999E-5</v>
      </c>
      <c r="S124">
        <f t="shared" si="71"/>
        <v>2.6754012475964426E-5</v>
      </c>
      <c r="T124">
        <f t="shared" si="64"/>
        <v>2.593438152878264E-5</v>
      </c>
    </row>
    <row r="125" spans="1:20" x14ac:dyDescent="0.2">
      <c r="A125">
        <v>1140.0999999999999</v>
      </c>
      <c r="B125">
        <f t="shared" si="70"/>
        <v>798</v>
      </c>
      <c r="C125">
        <f t="shared" si="72"/>
        <v>8.8576296701892561E-5</v>
      </c>
      <c r="D125">
        <f t="shared" si="72"/>
        <v>-4.4000000000000002E-6</v>
      </c>
      <c r="E125">
        <f t="shared" si="72"/>
        <v>3.4E-5</v>
      </c>
      <c r="F125">
        <f t="shared" si="72"/>
        <v>2.6300216310638752E-5</v>
      </c>
      <c r="G125">
        <f t="shared" si="72"/>
        <v>1.2387006504506882E-5</v>
      </c>
      <c r="H125">
        <f t="shared" si="72"/>
        <v>3.5370000000000002E-5</v>
      </c>
      <c r="I125">
        <f t="shared" si="72"/>
        <v>5.8E-5</v>
      </c>
      <c r="J125">
        <f t="shared" si="72"/>
        <v>3.7000000000000005E-5</v>
      </c>
      <c r="K125">
        <f t="shared" si="72"/>
        <v>2.894546E-5</v>
      </c>
      <c r="L125">
        <f t="shared" si="72"/>
        <v>3.3300000000000003E-5</v>
      </c>
      <c r="M125">
        <f t="shared" si="72"/>
        <v>2.9800000000000003E-5</v>
      </c>
      <c r="N125">
        <f t="shared" si="72"/>
        <v>3.4277378000000005E-5</v>
      </c>
      <c r="O125">
        <f t="shared" si="72"/>
        <v>2.8750000000000001E-5</v>
      </c>
      <c r="P125">
        <f t="shared" si="72"/>
        <v>3.5980514644003497E-5</v>
      </c>
      <c r="Q125">
        <f t="shared" si="72"/>
        <v>3.2979596289847432E-5</v>
      </c>
      <c r="R125">
        <f t="shared" si="71"/>
        <v>3.2687200000000001E-5</v>
      </c>
      <c r="S125">
        <f t="shared" si="71"/>
        <v>2.7150266848122815E-5</v>
      </c>
      <c r="T125">
        <f t="shared" si="64"/>
        <v>2.6651399625127985E-5</v>
      </c>
    </row>
    <row r="126" spans="1:20" x14ac:dyDescent="0.2">
      <c r="A126">
        <v>1140.0999999999999</v>
      </c>
      <c r="B126">
        <f t="shared" si="70"/>
        <v>848</v>
      </c>
      <c r="C126">
        <f t="shared" si="72"/>
        <v>9.3710389628693495E-5</v>
      </c>
      <c r="D126">
        <f t="shared" si="72"/>
        <v>-4.4000000000000002E-6</v>
      </c>
      <c r="E126">
        <f t="shared" si="72"/>
        <v>3.4E-5</v>
      </c>
      <c r="F126">
        <f t="shared" si="72"/>
        <v>2.6978875428978286E-5</v>
      </c>
      <c r="G126">
        <f t="shared" si="72"/>
        <v>1.2376012972944108E-5</v>
      </c>
      <c r="H126">
        <f t="shared" si="72"/>
        <v>3.5370000000000002E-5</v>
      </c>
      <c r="I126">
        <f t="shared" si="72"/>
        <v>5.8E-5</v>
      </c>
      <c r="J126">
        <f t="shared" si="72"/>
        <v>3.7000000000000005E-5</v>
      </c>
      <c r="K126">
        <f t="shared" si="72"/>
        <v>2.9458960000000001E-5</v>
      </c>
      <c r="L126">
        <f t="shared" si="72"/>
        <v>3.3300000000000003E-5</v>
      </c>
      <c r="M126">
        <f t="shared" si="72"/>
        <v>2.9800000000000003E-5</v>
      </c>
      <c r="N126">
        <f t="shared" si="72"/>
        <v>3.4562928000000004E-5</v>
      </c>
      <c r="O126">
        <f t="shared" si="72"/>
        <v>2.8750000000000001E-5</v>
      </c>
      <c r="P126">
        <f t="shared" si="72"/>
        <v>3.6553564012103955E-5</v>
      </c>
      <c r="Q126">
        <f t="shared" si="72"/>
        <v>3.356540591313635E-5</v>
      </c>
      <c r="R126">
        <f t="shared" si="71"/>
        <v>3.3507200000000003E-5</v>
      </c>
      <c r="S126">
        <f t="shared" si="71"/>
        <v>2.7529624899252404E-5</v>
      </c>
      <c r="T126">
        <f t="shared" si="64"/>
        <v>2.734953688323247E-5</v>
      </c>
    </row>
    <row r="127" spans="1:20" x14ac:dyDescent="0.2">
      <c r="A127">
        <v>1140.0999999999999</v>
      </c>
      <c r="B127">
        <f t="shared" si="70"/>
        <v>898</v>
      </c>
      <c r="C127">
        <f t="shared" si="72"/>
        <v>9.879496173400926E-5</v>
      </c>
      <c r="D127">
        <f t="shared" si="72"/>
        <v>-4.4000000000000002E-6</v>
      </c>
      <c r="E127">
        <f t="shared" si="72"/>
        <v>3.4E-5</v>
      </c>
      <c r="F127">
        <f t="shared" si="72"/>
        <v>2.7629058543211592E-5</v>
      </c>
      <c r="G127">
        <f t="shared" si="72"/>
        <v>1.2365489178744154E-5</v>
      </c>
      <c r="H127">
        <f t="shared" si="72"/>
        <v>3.5370000000000002E-5</v>
      </c>
      <c r="I127">
        <f t="shared" si="72"/>
        <v>5.8E-5</v>
      </c>
      <c r="J127">
        <f t="shared" si="72"/>
        <v>3.7000000000000005E-5</v>
      </c>
      <c r="K127">
        <f t="shared" si="72"/>
        <v>2.9972460000000002E-5</v>
      </c>
      <c r="L127">
        <f t="shared" si="72"/>
        <v>3.3300000000000003E-5</v>
      </c>
      <c r="M127">
        <f t="shared" si="72"/>
        <v>2.9800000000000003E-5</v>
      </c>
      <c r="N127">
        <f t="shared" si="72"/>
        <v>3.4848478000000003E-5</v>
      </c>
      <c r="O127">
        <f t="shared" si="72"/>
        <v>2.8750000000000001E-5</v>
      </c>
      <c r="P127">
        <f t="shared" si="72"/>
        <v>3.7115403871210963E-5</v>
      </c>
      <c r="Q127">
        <f t="shared" si="72"/>
        <v>3.4149704207518817E-5</v>
      </c>
      <c r="R127">
        <f t="shared" si="71"/>
        <v>3.4327199999999999E-5</v>
      </c>
      <c r="S127">
        <f t="shared" si="71"/>
        <v>2.7895742775521946E-5</v>
      </c>
      <c r="T127">
        <f t="shared" si="64"/>
        <v>2.8032878873219876E-5</v>
      </c>
    </row>
    <row r="128" spans="1:20" x14ac:dyDescent="0.2">
      <c r="A128">
        <v>1140.0999999999999</v>
      </c>
      <c r="B128">
        <f t="shared" si="70"/>
        <v>948</v>
      </c>
      <c r="C128">
        <f t="shared" si="72"/>
        <v>1.0384017951489256E-4</v>
      </c>
      <c r="D128">
        <f t="shared" si="72"/>
        <v>-4.4000000000000002E-6</v>
      </c>
      <c r="E128">
        <f t="shared" si="72"/>
        <v>3.4E-5</v>
      </c>
      <c r="F128">
        <f t="shared" si="72"/>
        <v>2.8256611703608755E-5</v>
      </c>
      <c r="G128">
        <f t="shared" si="72"/>
        <v>1.2355338686036782E-5</v>
      </c>
      <c r="H128">
        <f t="shared" si="72"/>
        <v>3.5370000000000002E-5</v>
      </c>
      <c r="I128">
        <f t="shared" si="72"/>
        <v>5.8E-5</v>
      </c>
      <c r="J128">
        <f t="shared" si="72"/>
        <v>3.7000000000000005E-5</v>
      </c>
      <c r="K128">
        <f t="shared" si="72"/>
        <v>3.0485960000000003E-5</v>
      </c>
      <c r="L128">
        <f t="shared" si="72"/>
        <v>3.3300000000000003E-5</v>
      </c>
      <c r="M128">
        <f t="shared" si="72"/>
        <v>2.9800000000000003E-5</v>
      </c>
      <c r="N128">
        <f t="shared" si="72"/>
        <v>3.5134028000000003E-5</v>
      </c>
      <c r="O128">
        <f t="shared" si="72"/>
        <v>2.8750000000000001E-5</v>
      </c>
      <c r="P128">
        <f t="shared" si="72"/>
        <v>3.7668335504637797E-5</v>
      </c>
      <c r="Q128">
        <f t="shared" si="72"/>
        <v>3.473280144492514E-5</v>
      </c>
      <c r="R128">
        <f t="shared" si="71"/>
        <v>3.5147200000000001E-5</v>
      </c>
      <c r="S128">
        <f t="shared" si="71"/>
        <v>2.8251338650714809E-5</v>
      </c>
      <c r="T128">
        <f t="shared" si="64"/>
        <v>2.8704463025512295E-5</v>
      </c>
    </row>
    <row r="129" spans="1:43" x14ac:dyDescent="0.2">
      <c r="A129">
        <v>1711.1</v>
      </c>
      <c r="B129">
        <v>298</v>
      </c>
      <c r="C129">
        <f t="shared" si="72"/>
        <v>2.3838260201702627E-5</v>
      </c>
      <c r="D129">
        <f t="shared" si="72"/>
        <v>-4.4000000000000002E-6</v>
      </c>
      <c r="E129">
        <f t="shared" si="72"/>
        <v>3.4E-5</v>
      </c>
      <c r="F129">
        <f t="shared" si="72"/>
        <v>1.1809874076392959E-5</v>
      </c>
      <c r="G129">
        <f t="shared" si="72"/>
        <v>1.2624022139723436E-5</v>
      </c>
      <c r="H129">
        <f t="shared" si="72"/>
        <v>3.5370000000000002E-5</v>
      </c>
      <c r="I129">
        <f t="shared" si="72"/>
        <v>5.8E-5</v>
      </c>
      <c r="J129">
        <f t="shared" si="72"/>
        <v>3.7000000000000005E-5</v>
      </c>
      <c r="K129">
        <f t="shared" si="72"/>
        <v>2.3810460000000002E-5</v>
      </c>
      <c r="L129">
        <f t="shared" si="72"/>
        <v>3.3300000000000003E-5</v>
      </c>
      <c r="M129">
        <f t="shared" si="72"/>
        <v>2.9800000000000003E-5</v>
      </c>
      <c r="N129">
        <f t="shared" si="72"/>
        <v>3.1421878000000005E-5</v>
      </c>
      <c r="O129">
        <f t="shared" si="72"/>
        <v>2.8750000000000001E-5</v>
      </c>
      <c r="P129">
        <f t="shared" si="72"/>
        <v>2.7217458305481738E-5</v>
      </c>
      <c r="Q129">
        <f t="shared" si="72"/>
        <v>2.6712632941759379E-5</v>
      </c>
      <c r="R129">
        <f t="shared" si="71"/>
        <v>2.4487200000000002E-5</v>
      </c>
      <c r="S129">
        <f t="shared" si="71"/>
        <v>1.9774757825683527E-5</v>
      </c>
      <c r="T129">
        <f t="shared" si="64"/>
        <v>1.5667391636412778E-5</v>
      </c>
    </row>
    <row r="130" spans="1:43" x14ac:dyDescent="0.2">
      <c r="A130">
        <v>1711.1</v>
      </c>
      <c r="B130">
        <f t="shared" ref="B130:B142" si="73">B129+50</f>
        <v>348</v>
      </c>
      <c r="C130">
        <f t="shared" si="72"/>
        <v>3.3764961417888759E-5</v>
      </c>
      <c r="D130">
        <f t="shared" si="72"/>
        <v>-4.4000000000000002E-6</v>
      </c>
      <c r="E130">
        <f t="shared" si="72"/>
        <v>3.4E-5</v>
      </c>
      <c r="F130">
        <f t="shared" si="72"/>
        <v>1.5244431203593609E-5</v>
      </c>
      <c r="G130">
        <f t="shared" si="72"/>
        <v>1.2567567585678427E-5</v>
      </c>
      <c r="H130">
        <f t="shared" si="72"/>
        <v>3.5370000000000002E-5</v>
      </c>
      <c r="I130">
        <f t="shared" si="72"/>
        <v>5.8E-5</v>
      </c>
      <c r="J130">
        <f t="shared" si="72"/>
        <v>3.7000000000000005E-5</v>
      </c>
      <c r="K130">
        <f t="shared" si="72"/>
        <v>2.4323960000000004E-5</v>
      </c>
      <c r="L130">
        <f t="shared" si="72"/>
        <v>3.3300000000000003E-5</v>
      </c>
      <c r="M130">
        <f t="shared" si="72"/>
        <v>2.9800000000000003E-5</v>
      </c>
      <c r="N130">
        <f t="shared" si="72"/>
        <v>3.1707428000000004E-5</v>
      </c>
      <c r="O130">
        <f t="shared" si="72"/>
        <v>2.8750000000000001E-5</v>
      </c>
      <c r="P130">
        <f t="shared" si="72"/>
        <v>2.8875360147971996E-5</v>
      </c>
      <c r="Q130">
        <f t="shared" si="72"/>
        <v>2.7444708463469419E-5</v>
      </c>
      <c r="R130">
        <f t="shared" si="71"/>
        <v>2.5307200000000001E-5</v>
      </c>
      <c r="S130">
        <f t="shared" si="71"/>
        <v>2.143549550429383E-5</v>
      </c>
      <c r="T130">
        <f t="shared" si="64"/>
        <v>1.7797409919408112E-5</v>
      </c>
    </row>
    <row r="131" spans="1:43" x14ac:dyDescent="0.2">
      <c r="A131">
        <v>1711.1</v>
      </c>
      <c r="B131">
        <f t="shared" si="73"/>
        <v>398</v>
      </c>
      <c r="C131">
        <f t="shared" si="72"/>
        <v>4.1894230803212041E-5</v>
      </c>
      <c r="D131">
        <f t="shared" si="72"/>
        <v>-4.4000000000000002E-6</v>
      </c>
      <c r="E131">
        <f t="shared" si="72"/>
        <v>3.4E-5</v>
      </c>
      <c r="F131">
        <f t="shared" si="72"/>
        <v>1.7645409430822455E-5</v>
      </c>
      <c r="G131">
        <f t="shared" si="72"/>
        <v>1.2528162847503853E-5</v>
      </c>
      <c r="H131">
        <f t="shared" si="72"/>
        <v>3.5370000000000002E-5</v>
      </c>
      <c r="I131">
        <f t="shared" si="72"/>
        <v>5.8E-5</v>
      </c>
      <c r="J131">
        <f t="shared" si="72"/>
        <v>3.7000000000000005E-5</v>
      </c>
      <c r="K131">
        <f t="shared" si="72"/>
        <v>2.4837460000000001E-5</v>
      </c>
      <c r="L131">
        <f t="shared" si="72"/>
        <v>3.3300000000000003E-5</v>
      </c>
      <c r="M131">
        <f t="shared" si="72"/>
        <v>2.9800000000000003E-5</v>
      </c>
      <c r="N131">
        <f t="shared" si="72"/>
        <v>3.1992978000000003E-5</v>
      </c>
      <c r="O131">
        <f t="shared" si="72"/>
        <v>2.8750000000000001E-5</v>
      </c>
      <c r="P131">
        <f t="shared" si="72"/>
        <v>3.0126396198075811E-5</v>
      </c>
      <c r="Q131">
        <f t="shared" si="72"/>
        <v>2.8121928055857177E-5</v>
      </c>
      <c r="R131">
        <f t="shared" si="71"/>
        <v>2.6127200000000003E-5</v>
      </c>
      <c r="S131">
        <f t="shared" si="71"/>
        <v>2.2615661354208227E-5</v>
      </c>
      <c r="T131">
        <f t="shared" si="64"/>
        <v>1.9390411952223435E-5</v>
      </c>
    </row>
    <row r="132" spans="1:43" x14ac:dyDescent="0.2">
      <c r="A132">
        <v>1711.1</v>
      </c>
      <c r="B132">
        <f t="shared" si="73"/>
        <v>448</v>
      </c>
      <c r="C132">
        <f t="shared" si="72"/>
        <v>4.8981555697704084E-5</v>
      </c>
      <c r="D132">
        <f t="shared" si="72"/>
        <v>-4.4000000000000002E-6</v>
      </c>
      <c r="E132">
        <f t="shared" si="72"/>
        <v>3.4E-5</v>
      </c>
      <c r="F132">
        <f t="shared" si="72"/>
        <v>1.9447237346938776E-5</v>
      </c>
      <c r="G132">
        <f t="shared" si="72"/>
        <v>1.2498641633928573E-5</v>
      </c>
      <c r="H132">
        <f t="shared" si="72"/>
        <v>3.5370000000000002E-5</v>
      </c>
      <c r="I132">
        <f t="shared" si="72"/>
        <v>5.8E-5</v>
      </c>
      <c r="J132">
        <f t="shared" si="72"/>
        <v>3.7000000000000005E-5</v>
      </c>
      <c r="K132">
        <f t="shared" si="72"/>
        <v>2.5350960000000002E-5</v>
      </c>
      <c r="L132">
        <f t="shared" si="72"/>
        <v>3.3300000000000003E-5</v>
      </c>
      <c r="M132">
        <f t="shared" si="72"/>
        <v>2.9800000000000003E-5</v>
      </c>
      <c r="N132">
        <f t="shared" si="72"/>
        <v>3.2278528000000003E-5</v>
      </c>
      <c r="O132">
        <f t="shared" si="72"/>
        <v>2.8750000000000001E-5</v>
      </c>
      <c r="P132">
        <f t="shared" si="72"/>
        <v>3.1141578201530619E-5</v>
      </c>
      <c r="Q132">
        <f t="shared" si="72"/>
        <v>2.8767348482142859E-5</v>
      </c>
      <c r="R132">
        <f t="shared" si="71"/>
        <v>2.6947200000000002E-5</v>
      </c>
      <c r="S132">
        <f t="shared" si="71"/>
        <v>2.3517246864795918E-5</v>
      </c>
      <c r="T132">
        <f t="shared" si="64"/>
        <v>2.0672113654336737E-5</v>
      </c>
    </row>
    <row r="133" spans="1:43" x14ac:dyDescent="0.2">
      <c r="A133">
        <v>1711.1</v>
      </c>
      <c r="B133">
        <f t="shared" si="73"/>
        <v>498</v>
      </c>
      <c r="C133">
        <f t="shared" si="72"/>
        <v>5.5423496771632715E-5</v>
      </c>
      <c r="D133">
        <f t="shared" si="72"/>
        <v>-4.4000000000000002E-6</v>
      </c>
      <c r="E133">
        <f t="shared" si="72"/>
        <v>3.4E-5</v>
      </c>
      <c r="F133">
        <f t="shared" si="72"/>
        <v>2.0877949603554783E-5</v>
      </c>
      <c r="G133">
        <f t="shared" si="72"/>
        <v>1.247524230776923E-5</v>
      </c>
      <c r="H133">
        <f t="shared" si="72"/>
        <v>3.5370000000000002E-5</v>
      </c>
      <c r="I133">
        <f t="shared" si="72"/>
        <v>5.8E-5</v>
      </c>
      <c r="J133">
        <f t="shared" si="72"/>
        <v>3.7000000000000005E-5</v>
      </c>
      <c r="K133">
        <f t="shared" si="72"/>
        <v>2.5864460000000003E-5</v>
      </c>
      <c r="L133">
        <f t="shared" si="72"/>
        <v>3.3300000000000003E-5</v>
      </c>
      <c r="M133">
        <f t="shared" si="72"/>
        <v>2.9800000000000003E-5</v>
      </c>
      <c r="N133">
        <f t="shared" si="72"/>
        <v>3.2564078000000002E-5</v>
      </c>
      <c r="O133">
        <f t="shared" si="72"/>
        <v>2.8750000000000001E-5</v>
      </c>
      <c r="P133">
        <f t="shared" si="72"/>
        <v>3.2010671438202618E-5</v>
      </c>
      <c r="Q133">
        <f t="shared" si="72"/>
        <v>2.9393072401090306E-5</v>
      </c>
      <c r="R133">
        <f t="shared" si="71"/>
        <v>2.7767200000000001E-5</v>
      </c>
      <c r="S133">
        <f t="shared" si="71"/>
        <v>2.424627880337414E-5</v>
      </c>
      <c r="T133">
        <f t="shared" si="64"/>
        <v>2.1760994914920731E-5</v>
      </c>
    </row>
    <row r="134" spans="1:43" x14ac:dyDescent="0.2">
      <c r="A134">
        <v>1711.1</v>
      </c>
      <c r="B134">
        <f t="shared" si="73"/>
        <v>548</v>
      </c>
      <c r="C134">
        <f t="shared" si="72"/>
        <v>6.1444448631893005E-5</v>
      </c>
      <c r="D134">
        <f t="shared" si="72"/>
        <v>-4.4000000000000002E-6</v>
      </c>
      <c r="E134">
        <f t="shared" si="72"/>
        <v>3.4E-5</v>
      </c>
      <c r="F134">
        <f t="shared" si="72"/>
        <v>2.2066580040492303E-5</v>
      </c>
      <c r="G134">
        <f t="shared" si="72"/>
        <v>1.2455836339495979E-5</v>
      </c>
      <c r="H134">
        <f t="shared" si="72"/>
        <v>3.5370000000000002E-5</v>
      </c>
      <c r="I134">
        <f t="shared" si="72"/>
        <v>5.8E-5</v>
      </c>
      <c r="J134">
        <f t="shared" si="72"/>
        <v>3.7000000000000005E-5</v>
      </c>
      <c r="K134">
        <f t="shared" si="72"/>
        <v>2.6377960000000001E-5</v>
      </c>
      <c r="L134">
        <f t="shared" si="72"/>
        <v>3.3300000000000003E-5</v>
      </c>
      <c r="M134">
        <f t="shared" si="72"/>
        <v>2.9800000000000003E-5</v>
      </c>
      <c r="N134">
        <f t="shared" si="72"/>
        <v>3.2849628000000001E-5</v>
      </c>
      <c r="O134">
        <f t="shared" si="72"/>
        <v>2.8750000000000001E-5</v>
      </c>
      <c r="P134">
        <f t="shared" si="72"/>
        <v>3.2784469761841341E-5</v>
      </c>
      <c r="Q134">
        <f t="shared" si="72"/>
        <v>3.00059481250999E-5</v>
      </c>
      <c r="R134">
        <f t="shared" si="71"/>
        <v>2.8587200000000003E-5</v>
      </c>
      <c r="S134">
        <f t="shared" si="71"/>
        <v>2.4862752617187918E-5</v>
      </c>
      <c r="T134">
        <f t="shared" si="64"/>
        <v>2.2724097803825458E-5</v>
      </c>
    </row>
    <row r="135" spans="1:43" x14ac:dyDescent="0.2">
      <c r="A135">
        <v>1711.1</v>
      </c>
      <c r="B135">
        <f t="shared" si="73"/>
        <v>598</v>
      </c>
      <c r="C135">
        <f t="shared" si="72"/>
        <v>6.7179126437489508E-5</v>
      </c>
      <c r="D135">
        <f t="shared" si="72"/>
        <v>-4.4000000000000002E-6</v>
      </c>
      <c r="E135">
        <f t="shared" si="72"/>
        <v>3.4E-5</v>
      </c>
      <c r="F135">
        <f t="shared" si="72"/>
        <v>2.3090594041118109E-5</v>
      </c>
      <c r="G135">
        <f t="shared" si="72"/>
        <v>1.2439145867764344E-5</v>
      </c>
      <c r="H135">
        <f t="shared" si="72"/>
        <v>3.5370000000000002E-5</v>
      </c>
      <c r="I135">
        <f t="shared" si="72"/>
        <v>5.8E-5</v>
      </c>
      <c r="J135">
        <f t="shared" si="72"/>
        <v>3.7000000000000005E-5</v>
      </c>
      <c r="K135">
        <f t="shared" si="72"/>
        <v>2.6891460000000002E-5</v>
      </c>
      <c r="L135">
        <f t="shared" si="72"/>
        <v>3.3300000000000003E-5</v>
      </c>
      <c r="M135">
        <f t="shared" si="72"/>
        <v>2.9800000000000003E-5</v>
      </c>
      <c r="N135">
        <f t="shared" si="72"/>
        <v>3.3135178000000007E-5</v>
      </c>
      <c r="O135">
        <f t="shared" si="72"/>
        <v>2.8750000000000001E-5</v>
      </c>
      <c r="P135">
        <f t="shared" si="72"/>
        <v>3.3493467230120478E-5</v>
      </c>
      <c r="Q135">
        <f t="shared" si="72"/>
        <v>3.0610087034149507E-5</v>
      </c>
      <c r="R135">
        <f t="shared" si="71"/>
        <v>2.9407199999999999E-5</v>
      </c>
      <c r="S135">
        <f t="shared" si="71"/>
        <v>2.5402686534692006E-5</v>
      </c>
      <c r="T135">
        <f t="shared" si="64"/>
        <v>2.3601670984888314E-5</v>
      </c>
    </row>
    <row r="136" spans="1:43" x14ac:dyDescent="0.2">
      <c r="A136">
        <v>1711.1</v>
      </c>
      <c r="B136">
        <f t="shared" si="73"/>
        <v>648</v>
      </c>
      <c r="C136">
        <f t="shared" ref="C136:Q142" si="74">C$8*10^-5+C$9*10^-8*$B136+C$10*$B136^-2</f>
        <v>7.2712373611949407E-5</v>
      </c>
      <c r="D136">
        <f t="shared" si="74"/>
        <v>-4.4000000000000002E-6</v>
      </c>
      <c r="E136">
        <f t="shared" si="74"/>
        <v>3.4E-5</v>
      </c>
      <c r="F136">
        <f t="shared" si="74"/>
        <v>2.3998779198292944E-5</v>
      </c>
      <c r="G136">
        <f t="shared" si="74"/>
        <v>1.2424366097241276E-5</v>
      </c>
      <c r="H136">
        <f t="shared" si="74"/>
        <v>3.5370000000000002E-5</v>
      </c>
      <c r="I136">
        <f t="shared" si="74"/>
        <v>5.8E-5</v>
      </c>
      <c r="J136">
        <f t="shared" si="74"/>
        <v>3.7000000000000005E-5</v>
      </c>
      <c r="K136">
        <f t="shared" si="74"/>
        <v>2.7404960000000003E-5</v>
      </c>
      <c r="L136">
        <f t="shared" si="74"/>
        <v>3.3300000000000003E-5</v>
      </c>
      <c r="M136">
        <f t="shared" si="74"/>
        <v>2.9800000000000003E-5</v>
      </c>
      <c r="N136">
        <f t="shared" si="74"/>
        <v>3.3420728000000007E-5</v>
      </c>
      <c r="O136">
        <f t="shared" si="74"/>
        <v>2.8750000000000001E-5</v>
      </c>
      <c r="P136">
        <f t="shared" si="74"/>
        <v>3.4156868959000163E-5</v>
      </c>
      <c r="Q136">
        <f t="shared" si="74"/>
        <v>3.1208078469745462E-5</v>
      </c>
      <c r="R136">
        <f t="shared" si="71"/>
        <v>3.0227200000000001E-5</v>
      </c>
      <c r="S136">
        <f t="shared" si="71"/>
        <v>2.5888764787075141E-5</v>
      </c>
      <c r="T136">
        <f t="shared" si="64"/>
        <v>2.4419063011736021E-5</v>
      </c>
    </row>
    <row r="137" spans="1:43" x14ac:dyDescent="0.2">
      <c r="A137">
        <v>1711.1</v>
      </c>
      <c r="B137">
        <f t="shared" si="73"/>
        <v>698</v>
      </c>
      <c r="C137">
        <f t="shared" si="74"/>
        <v>7.8099781709000752E-5</v>
      </c>
      <c r="D137">
        <f t="shared" si="74"/>
        <v>-4.4000000000000002E-6</v>
      </c>
      <c r="E137">
        <f t="shared" si="74"/>
        <v>3.4E-5</v>
      </c>
      <c r="F137">
        <f t="shared" si="74"/>
        <v>2.4823102374939454E-5</v>
      </c>
      <c r="G137">
        <f t="shared" si="74"/>
        <v>1.2410969705700283E-5</v>
      </c>
      <c r="H137">
        <f t="shared" si="74"/>
        <v>3.5370000000000002E-5</v>
      </c>
      <c r="I137">
        <f t="shared" si="74"/>
        <v>5.8E-5</v>
      </c>
      <c r="J137">
        <f t="shared" si="74"/>
        <v>3.7000000000000005E-5</v>
      </c>
      <c r="K137">
        <f t="shared" si="74"/>
        <v>2.7918460000000001E-5</v>
      </c>
      <c r="L137">
        <f t="shared" si="74"/>
        <v>3.3300000000000003E-5</v>
      </c>
      <c r="M137">
        <f t="shared" si="74"/>
        <v>2.9800000000000003E-5</v>
      </c>
      <c r="N137">
        <f t="shared" si="74"/>
        <v>3.3706278000000006E-5</v>
      </c>
      <c r="O137">
        <f t="shared" si="74"/>
        <v>2.8750000000000001E-5</v>
      </c>
      <c r="P137">
        <f t="shared" si="74"/>
        <v>3.4787258625462847E-5</v>
      </c>
      <c r="Q137">
        <f t="shared" si="74"/>
        <v>3.180161903383388E-5</v>
      </c>
      <c r="R137">
        <f t="shared" si="71"/>
        <v>3.1047200000000003E-5</v>
      </c>
      <c r="S137">
        <f t="shared" si="71"/>
        <v>2.6335850655479021E-5</v>
      </c>
      <c r="T137">
        <f t="shared" si="64"/>
        <v>2.5192882896856348E-5</v>
      </c>
    </row>
    <row r="138" spans="1:43" x14ac:dyDescent="0.2">
      <c r="A138">
        <v>1711.1</v>
      </c>
      <c r="B138">
        <f t="shared" si="73"/>
        <v>748</v>
      </c>
      <c r="C138">
        <f t="shared" si="74"/>
        <v>8.337900825794274E-5</v>
      </c>
      <c r="D138">
        <f t="shared" si="74"/>
        <v>-4.4000000000000002E-6</v>
      </c>
      <c r="E138">
        <f t="shared" si="74"/>
        <v>3.4E-5</v>
      </c>
      <c r="F138">
        <f t="shared" si="74"/>
        <v>2.5585217815207758E-5</v>
      </c>
      <c r="G138">
        <f t="shared" si="74"/>
        <v>1.239859948685979E-5</v>
      </c>
      <c r="H138">
        <f t="shared" si="74"/>
        <v>3.5370000000000002E-5</v>
      </c>
      <c r="I138">
        <f t="shared" si="74"/>
        <v>5.8E-5</v>
      </c>
      <c r="J138">
        <f t="shared" si="74"/>
        <v>3.7000000000000005E-5</v>
      </c>
      <c r="K138">
        <f t="shared" si="74"/>
        <v>2.8431960000000002E-5</v>
      </c>
      <c r="L138">
        <f t="shared" si="74"/>
        <v>3.3300000000000003E-5</v>
      </c>
      <c r="M138">
        <f t="shared" si="74"/>
        <v>2.9800000000000003E-5</v>
      </c>
      <c r="N138">
        <f t="shared" si="74"/>
        <v>3.3991828000000005E-5</v>
      </c>
      <c r="O138">
        <f t="shared" si="74"/>
        <v>2.8750000000000001E-5</v>
      </c>
      <c r="P138">
        <f t="shared" si="74"/>
        <v>3.5393160369470102E-5</v>
      </c>
      <c r="Q138">
        <f t="shared" si="74"/>
        <v>3.2391857998798937E-5</v>
      </c>
      <c r="R138">
        <f t="shared" si="71"/>
        <v>3.1867199999999999E-5</v>
      </c>
      <c r="S138">
        <f t="shared" si="71"/>
        <v>2.6754012475964426E-5</v>
      </c>
      <c r="T138">
        <f t="shared" si="64"/>
        <v>2.593438152878264E-5</v>
      </c>
    </row>
    <row r="139" spans="1:43" x14ac:dyDescent="0.2">
      <c r="A139">
        <v>1711.1</v>
      </c>
      <c r="B139">
        <f t="shared" si="73"/>
        <v>798</v>
      </c>
      <c r="C139">
        <f t="shared" si="74"/>
        <v>8.8576296701892561E-5</v>
      </c>
      <c r="D139">
        <f t="shared" si="74"/>
        <v>-4.4000000000000002E-6</v>
      </c>
      <c r="E139">
        <f t="shared" si="74"/>
        <v>3.4E-5</v>
      </c>
      <c r="F139">
        <f t="shared" si="74"/>
        <v>2.6300216310638752E-5</v>
      </c>
      <c r="G139">
        <f t="shared" si="74"/>
        <v>1.2387006504506882E-5</v>
      </c>
      <c r="H139">
        <f t="shared" si="74"/>
        <v>3.5370000000000002E-5</v>
      </c>
      <c r="I139">
        <f t="shared" si="74"/>
        <v>5.8E-5</v>
      </c>
      <c r="J139">
        <f t="shared" si="74"/>
        <v>3.7000000000000005E-5</v>
      </c>
      <c r="K139">
        <f t="shared" si="74"/>
        <v>2.894546E-5</v>
      </c>
      <c r="L139">
        <f t="shared" si="74"/>
        <v>3.3300000000000003E-5</v>
      </c>
      <c r="M139">
        <f t="shared" si="74"/>
        <v>2.9800000000000003E-5</v>
      </c>
      <c r="N139">
        <f t="shared" si="74"/>
        <v>3.4277378000000005E-5</v>
      </c>
      <c r="O139">
        <f t="shared" si="74"/>
        <v>2.8750000000000001E-5</v>
      </c>
      <c r="P139">
        <f t="shared" si="74"/>
        <v>3.5980514644003497E-5</v>
      </c>
      <c r="Q139">
        <f t="shared" si="74"/>
        <v>3.2979596289847432E-5</v>
      </c>
      <c r="R139">
        <f t="shared" si="71"/>
        <v>3.2687200000000001E-5</v>
      </c>
      <c r="S139">
        <f t="shared" si="71"/>
        <v>2.7150266848122815E-5</v>
      </c>
      <c r="T139">
        <f t="shared" si="64"/>
        <v>2.6651399625127985E-5</v>
      </c>
    </row>
    <row r="140" spans="1:43" x14ac:dyDescent="0.2">
      <c r="A140">
        <v>1711.1</v>
      </c>
      <c r="B140">
        <f t="shared" si="73"/>
        <v>848</v>
      </c>
      <c r="C140">
        <f t="shared" si="74"/>
        <v>9.3710389628693495E-5</v>
      </c>
      <c r="D140">
        <f t="shared" si="74"/>
        <v>-4.4000000000000002E-6</v>
      </c>
      <c r="E140">
        <f t="shared" si="74"/>
        <v>3.4E-5</v>
      </c>
      <c r="F140">
        <f t="shared" si="74"/>
        <v>2.6978875428978286E-5</v>
      </c>
      <c r="G140">
        <f t="shared" si="74"/>
        <v>1.2376012972944108E-5</v>
      </c>
      <c r="H140">
        <f t="shared" si="74"/>
        <v>3.5370000000000002E-5</v>
      </c>
      <c r="I140">
        <f t="shared" si="74"/>
        <v>5.8E-5</v>
      </c>
      <c r="J140">
        <f t="shared" si="74"/>
        <v>3.7000000000000005E-5</v>
      </c>
      <c r="K140">
        <f t="shared" si="74"/>
        <v>2.9458960000000001E-5</v>
      </c>
      <c r="L140">
        <f t="shared" si="74"/>
        <v>3.3300000000000003E-5</v>
      </c>
      <c r="M140">
        <f t="shared" si="74"/>
        <v>2.9800000000000003E-5</v>
      </c>
      <c r="N140">
        <f t="shared" si="74"/>
        <v>3.4562928000000004E-5</v>
      </c>
      <c r="O140">
        <f t="shared" si="74"/>
        <v>2.8750000000000001E-5</v>
      </c>
      <c r="P140">
        <f t="shared" si="74"/>
        <v>3.6553564012103955E-5</v>
      </c>
      <c r="Q140">
        <f t="shared" si="74"/>
        <v>3.356540591313635E-5</v>
      </c>
      <c r="R140">
        <f t="shared" si="71"/>
        <v>3.3507200000000003E-5</v>
      </c>
      <c r="S140">
        <f t="shared" si="71"/>
        <v>2.7529624899252404E-5</v>
      </c>
      <c r="T140">
        <f t="shared" si="64"/>
        <v>2.734953688323247E-5</v>
      </c>
    </row>
    <row r="141" spans="1:43" x14ac:dyDescent="0.2">
      <c r="A141">
        <v>1711.1</v>
      </c>
      <c r="B141">
        <f t="shared" si="73"/>
        <v>898</v>
      </c>
      <c r="C141">
        <f t="shared" si="74"/>
        <v>9.879496173400926E-5</v>
      </c>
      <c r="D141">
        <f t="shared" si="74"/>
        <v>-4.4000000000000002E-6</v>
      </c>
      <c r="E141">
        <f t="shared" si="74"/>
        <v>3.4E-5</v>
      </c>
      <c r="F141">
        <f t="shared" si="74"/>
        <v>2.7629058543211592E-5</v>
      </c>
      <c r="G141">
        <f t="shared" si="74"/>
        <v>1.2365489178744154E-5</v>
      </c>
      <c r="H141">
        <f t="shared" si="74"/>
        <v>3.5370000000000002E-5</v>
      </c>
      <c r="I141">
        <f t="shared" si="74"/>
        <v>5.8E-5</v>
      </c>
      <c r="J141">
        <f t="shared" si="74"/>
        <v>3.7000000000000005E-5</v>
      </c>
      <c r="K141">
        <f t="shared" si="74"/>
        <v>2.9972460000000002E-5</v>
      </c>
      <c r="L141">
        <f t="shared" si="74"/>
        <v>3.3300000000000003E-5</v>
      </c>
      <c r="M141">
        <f t="shared" si="74"/>
        <v>2.9800000000000003E-5</v>
      </c>
      <c r="N141">
        <f t="shared" si="74"/>
        <v>3.4848478000000003E-5</v>
      </c>
      <c r="O141">
        <f t="shared" si="74"/>
        <v>2.8750000000000001E-5</v>
      </c>
      <c r="P141">
        <f t="shared" si="74"/>
        <v>3.7115403871210963E-5</v>
      </c>
      <c r="Q141">
        <f t="shared" si="74"/>
        <v>3.4149704207518817E-5</v>
      </c>
      <c r="R141">
        <f t="shared" si="71"/>
        <v>3.4327199999999999E-5</v>
      </c>
      <c r="S141">
        <f t="shared" si="71"/>
        <v>2.7895742775521946E-5</v>
      </c>
      <c r="T141">
        <f t="shared" si="64"/>
        <v>2.8032878873219876E-5</v>
      </c>
    </row>
    <row r="142" spans="1:43" x14ac:dyDescent="0.2">
      <c r="A142">
        <v>1711.1</v>
      </c>
      <c r="B142">
        <f t="shared" si="73"/>
        <v>948</v>
      </c>
      <c r="C142">
        <f t="shared" si="74"/>
        <v>1.0384017951489256E-4</v>
      </c>
      <c r="D142">
        <f t="shared" si="74"/>
        <v>-4.4000000000000002E-6</v>
      </c>
      <c r="E142">
        <f t="shared" si="74"/>
        <v>3.4E-5</v>
      </c>
      <c r="F142">
        <f t="shared" si="74"/>
        <v>2.8256611703608755E-5</v>
      </c>
      <c r="G142">
        <f t="shared" si="74"/>
        <v>1.2355338686036782E-5</v>
      </c>
      <c r="H142">
        <f t="shared" si="74"/>
        <v>3.5370000000000002E-5</v>
      </c>
      <c r="I142">
        <f t="shared" si="74"/>
        <v>5.8E-5</v>
      </c>
      <c r="J142">
        <f t="shared" si="74"/>
        <v>3.7000000000000005E-5</v>
      </c>
      <c r="K142">
        <f t="shared" si="74"/>
        <v>3.0485960000000003E-5</v>
      </c>
      <c r="L142">
        <f t="shared" si="74"/>
        <v>3.3300000000000003E-5</v>
      </c>
      <c r="M142">
        <f t="shared" si="74"/>
        <v>2.9800000000000003E-5</v>
      </c>
      <c r="N142">
        <f t="shared" si="74"/>
        <v>3.5134028000000003E-5</v>
      </c>
      <c r="O142">
        <f t="shared" si="74"/>
        <v>2.8750000000000001E-5</v>
      </c>
      <c r="P142">
        <f t="shared" si="74"/>
        <v>3.7668335504637797E-5</v>
      </c>
      <c r="Q142">
        <f t="shared" si="74"/>
        <v>3.473280144492514E-5</v>
      </c>
      <c r="R142">
        <f t="shared" si="71"/>
        <v>3.5147200000000001E-5</v>
      </c>
      <c r="S142">
        <f t="shared" si="71"/>
        <v>2.8251338650714809E-5</v>
      </c>
      <c r="T142">
        <f t="shared" si="64"/>
        <v>2.8704463025512295E-5</v>
      </c>
    </row>
    <row r="144" spans="1:43" x14ac:dyDescent="0.2">
      <c r="A144" s="1" t="s">
        <v>138</v>
      </c>
      <c r="B144" s="63" t="s">
        <v>72</v>
      </c>
      <c r="C144" s="63"/>
      <c r="D144" s="63"/>
      <c r="E144" s="63"/>
      <c r="F144" s="63"/>
      <c r="G144" s="63"/>
      <c r="H144" s="63"/>
      <c r="I144" s="63"/>
      <c r="J144" s="63"/>
      <c r="K144" s="63"/>
      <c r="L144" s="63"/>
      <c r="M144" s="63"/>
      <c r="N144" s="63"/>
      <c r="O144" s="63"/>
      <c r="P144" s="63"/>
      <c r="Q144" s="63"/>
      <c r="R144" s="63"/>
      <c r="S144" s="63"/>
      <c r="T144" s="63"/>
      <c r="V144" s="1"/>
      <c r="W144" s="1"/>
      <c r="X144" s="1"/>
      <c r="Y144" s="1"/>
      <c r="Z144" s="1"/>
      <c r="AA144" s="1"/>
      <c r="AB144" s="1"/>
      <c r="AC144" s="1"/>
      <c r="AD144" s="1"/>
      <c r="AE144" s="1"/>
      <c r="AF144" s="1"/>
      <c r="AG144" s="1"/>
      <c r="AH144" s="1"/>
      <c r="AI144" s="1"/>
      <c r="AJ144" s="1"/>
      <c r="AK144" s="1"/>
      <c r="AL144" s="1"/>
      <c r="AM144" s="1"/>
      <c r="AO144" s="1"/>
      <c r="AP144" s="1"/>
      <c r="AQ144" s="1"/>
    </row>
    <row r="145" spans="1:43" ht="17" thickBot="1" x14ac:dyDescent="0.25">
      <c r="A145" s="32" t="s">
        <v>96</v>
      </c>
      <c r="B145" s="32" t="s">
        <v>97</v>
      </c>
      <c r="C145" s="13" t="s">
        <v>0</v>
      </c>
      <c r="D145" s="13" t="s">
        <v>1</v>
      </c>
      <c r="E145" s="13" t="s">
        <v>2</v>
      </c>
      <c r="F145" s="13" t="s">
        <v>3</v>
      </c>
      <c r="G145" s="13" t="s">
        <v>4</v>
      </c>
      <c r="H145" s="13" t="s">
        <v>5</v>
      </c>
      <c r="I145" s="13" t="s">
        <v>6</v>
      </c>
      <c r="J145" s="13" t="s">
        <v>7</v>
      </c>
      <c r="K145" s="13" t="s">
        <v>8</v>
      </c>
      <c r="L145" s="13" t="s">
        <v>9</v>
      </c>
      <c r="M145" s="13" t="s">
        <v>10</v>
      </c>
      <c r="N145" s="13" t="s">
        <v>11</v>
      </c>
      <c r="O145" s="13" t="s">
        <v>12</v>
      </c>
      <c r="P145" s="13" t="s">
        <v>13</v>
      </c>
      <c r="Q145" s="13" t="s">
        <v>14</v>
      </c>
      <c r="R145" s="13" t="s">
        <v>15</v>
      </c>
      <c r="S145" s="13" t="s">
        <v>16</v>
      </c>
      <c r="T145" s="13" t="s">
        <v>17</v>
      </c>
      <c r="V145" s="31"/>
      <c r="W145" s="31"/>
      <c r="X145" s="31"/>
      <c r="Y145" s="31"/>
      <c r="Z145" s="31"/>
      <c r="AA145" s="31"/>
      <c r="AB145" s="31"/>
      <c r="AC145" s="31"/>
      <c r="AD145" s="31"/>
      <c r="AE145" s="31"/>
      <c r="AF145" s="31"/>
      <c r="AG145" s="31"/>
      <c r="AH145" s="31"/>
      <c r="AI145" s="31"/>
      <c r="AJ145" s="31"/>
      <c r="AK145" s="31"/>
      <c r="AL145" s="31"/>
      <c r="AM145" s="31"/>
      <c r="AO145" s="1"/>
      <c r="AP145" s="1"/>
      <c r="AQ145" s="33"/>
    </row>
    <row r="146" spans="1:43" x14ac:dyDescent="0.2">
      <c r="A146">
        <v>0.1</v>
      </c>
      <c r="B146">
        <v>298</v>
      </c>
    </row>
    <row r="147" spans="1:43" x14ac:dyDescent="0.2">
      <c r="A147">
        <v>0.1</v>
      </c>
      <c r="B147">
        <f t="shared" ref="B147:B159" si="75">B146+50</f>
        <v>348</v>
      </c>
    </row>
    <row r="148" spans="1:43" x14ac:dyDescent="0.2">
      <c r="A148">
        <v>0.1</v>
      </c>
      <c r="B148">
        <f t="shared" si="75"/>
        <v>398</v>
      </c>
    </row>
    <row r="149" spans="1:43" x14ac:dyDescent="0.2">
      <c r="A149">
        <v>0.1</v>
      </c>
      <c r="B149">
        <f t="shared" si="75"/>
        <v>448</v>
      </c>
    </row>
    <row r="150" spans="1:43" x14ac:dyDescent="0.2">
      <c r="A150">
        <v>0.1</v>
      </c>
      <c r="B150">
        <f t="shared" si="75"/>
        <v>498</v>
      </c>
    </row>
    <row r="151" spans="1:43" x14ac:dyDescent="0.2">
      <c r="A151">
        <v>0.1</v>
      </c>
      <c r="B151">
        <f t="shared" si="75"/>
        <v>548</v>
      </c>
    </row>
    <row r="152" spans="1:43" x14ac:dyDescent="0.2">
      <c r="A152">
        <v>0.1</v>
      </c>
      <c r="B152">
        <f t="shared" si="75"/>
        <v>598</v>
      </c>
    </row>
    <row r="153" spans="1:43" x14ac:dyDescent="0.2">
      <c r="A153">
        <v>0.1</v>
      </c>
      <c r="B153">
        <f t="shared" si="75"/>
        <v>648</v>
      </c>
    </row>
    <row r="154" spans="1:43" x14ac:dyDescent="0.2">
      <c r="A154">
        <v>0.1</v>
      </c>
      <c r="B154">
        <f t="shared" si="75"/>
        <v>698</v>
      </c>
    </row>
    <row r="155" spans="1:43" x14ac:dyDescent="0.2">
      <c r="A155">
        <v>0.1</v>
      </c>
      <c r="B155">
        <f t="shared" si="75"/>
        <v>748</v>
      </c>
    </row>
    <row r="156" spans="1:43" x14ac:dyDescent="0.2">
      <c r="A156">
        <v>0.1</v>
      </c>
      <c r="B156">
        <f t="shared" si="75"/>
        <v>798</v>
      </c>
    </row>
    <row r="157" spans="1:43" x14ac:dyDescent="0.2">
      <c r="A157">
        <v>0.1</v>
      </c>
      <c r="B157">
        <f t="shared" si="75"/>
        <v>848</v>
      </c>
    </row>
    <row r="158" spans="1:43" x14ac:dyDescent="0.2">
      <c r="A158">
        <v>0.1</v>
      </c>
      <c r="B158">
        <f t="shared" si="75"/>
        <v>898</v>
      </c>
    </row>
    <row r="159" spans="1:43" x14ac:dyDescent="0.2">
      <c r="A159">
        <v>0.1</v>
      </c>
      <c r="B159">
        <f t="shared" si="75"/>
        <v>948</v>
      </c>
    </row>
    <row r="160" spans="1:43" x14ac:dyDescent="0.2">
      <c r="A160">
        <v>570.1</v>
      </c>
      <c r="B160">
        <v>298</v>
      </c>
    </row>
    <row r="161" spans="1:2" x14ac:dyDescent="0.2">
      <c r="A161">
        <v>570.1</v>
      </c>
      <c r="B161">
        <f t="shared" ref="B161:B173" si="76">B160+50</f>
        <v>348</v>
      </c>
    </row>
    <row r="162" spans="1:2" x14ac:dyDescent="0.2">
      <c r="A162">
        <v>570.1</v>
      </c>
      <c r="B162">
        <f t="shared" si="76"/>
        <v>398</v>
      </c>
    </row>
    <row r="163" spans="1:2" x14ac:dyDescent="0.2">
      <c r="A163">
        <v>570.1</v>
      </c>
      <c r="B163">
        <f t="shared" si="76"/>
        <v>448</v>
      </c>
    </row>
    <row r="164" spans="1:2" x14ac:dyDescent="0.2">
      <c r="A164">
        <v>570.1</v>
      </c>
      <c r="B164">
        <f t="shared" si="76"/>
        <v>498</v>
      </c>
    </row>
    <row r="165" spans="1:2" x14ac:dyDescent="0.2">
      <c r="A165">
        <v>570.1</v>
      </c>
      <c r="B165">
        <f t="shared" si="76"/>
        <v>548</v>
      </c>
    </row>
    <row r="166" spans="1:2" x14ac:dyDescent="0.2">
      <c r="A166">
        <v>570.1</v>
      </c>
      <c r="B166">
        <f t="shared" si="76"/>
        <v>598</v>
      </c>
    </row>
    <row r="167" spans="1:2" x14ac:dyDescent="0.2">
      <c r="A167">
        <v>570.1</v>
      </c>
      <c r="B167">
        <f t="shared" si="76"/>
        <v>648</v>
      </c>
    </row>
    <row r="168" spans="1:2" x14ac:dyDescent="0.2">
      <c r="A168">
        <v>570.1</v>
      </c>
      <c r="B168">
        <f t="shared" si="76"/>
        <v>698</v>
      </c>
    </row>
    <row r="169" spans="1:2" x14ac:dyDescent="0.2">
      <c r="A169">
        <v>570.1</v>
      </c>
      <c r="B169">
        <f t="shared" si="76"/>
        <v>748</v>
      </c>
    </row>
    <row r="170" spans="1:2" x14ac:dyDescent="0.2">
      <c r="A170">
        <v>570.1</v>
      </c>
      <c r="B170">
        <f t="shared" si="76"/>
        <v>798</v>
      </c>
    </row>
    <row r="171" spans="1:2" x14ac:dyDescent="0.2">
      <c r="A171">
        <v>570.1</v>
      </c>
      <c r="B171">
        <f t="shared" si="76"/>
        <v>848</v>
      </c>
    </row>
    <row r="172" spans="1:2" x14ac:dyDescent="0.2">
      <c r="A172">
        <v>570.1</v>
      </c>
      <c r="B172">
        <f t="shared" si="76"/>
        <v>898</v>
      </c>
    </row>
    <row r="173" spans="1:2" x14ac:dyDescent="0.2">
      <c r="A173">
        <v>570.1</v>
      </c>
      <c r="B173">
        <f t="shared" si="76"/>
        <v>948</v>
      </c>
    </row>
    <row r="174" spans="1:2" x14ac:dyDescent="0.2">
      <c r="A174">
        <v>1140.0999999999999</v>
      </c>
      <c r="B174">
        <v>298</v>
      </c>
    </row>
    <row r="175" spans="1:2" x14ac:dyDescent="0.2">
      <c r="A175">
        <v>1140.0999999999999</v>
      </c>
      <c r="B175">
        <f t="shared" ref="B175:B187" si="77">B174+50</f>
        <v>348</v>
      </c>
    </row>
    <row r="176" spans="1:2" x14ac:dyDescent="0.2">
      <c r="A176">
        <v>1140.0999999999999</v>
      </c>
      <c r="B176">
        <f t="shared" si="77"/>
        <v>398</v>
      </c>
    </row>
    <row r="177" spans="1:2" x14ac:dyDescent="0.2">
      <c r="A177">
        <v>1140.0999999999999</v>
      </c>
      <c r="B177">
        <f t="shared" si="77"/>
        <v>448</v>
      </c>
    </row>
    <row r="178" spans="1:2" x14ac:dyDescent="0.2">
      <c r="A178">
        <v>1140.0999999999999</v>
      </c>
      <c r="B178">
        <f t="shared" si="77"/>
        <v>498</v>
      </c>
    </row>
    <row r="179" spans="1:2" x14ac:dyDescent="0.2">
      <c r="A179">
        <v>1140.0999999999999</v>
      </c>
      <c r="B179">
        <f t="shared" si="77"/>
        <v>548</v>
      </c>
    </row>
    <row r="180" spans="1:2" x14ac:dyDescent="0.2">
      <c r="A180">
        <v>1140.0999999999999</v>
      </c>
      <c r="B180">
        <f t="shared" si="77"/>
        <v>598</v>
      </c>
    </row>
    <row r="181" spans="1:2" x14ac:dyDescent="0.2">
      <c r="A181">
        <v>1140.0999999999999</v>
      </c>
      <c r="B181">
        <f t="shared" si="77"/>
        <v>648</v>
      </c>
    </row>
    <row r="182" spans="1:2" x14ac:dyDescent="0.2">
      <c r="A182">
        <v>1140.0999999999999</v>
      </c>
      <c r="B182">
        <f t="shared" si="77"/>
        <v>698</v>
      </c>
    </row>
    <row r="183" spans="1:2" x14ac:dyDescent="0.2">
      <c r="A183">
        <v>1140.0999999999999</v>
      </c>
      <c r="B183">
        <f t="shared" si="77"/>
        <v>748</v>
      </c>
    </row>
    <row r="184" spans="1:2" x14ac:dyDescent="0.2">
      <c r="A184">
        <v>1140.0999999999999</v>
      </c>
      <c r="B184">
        <f t="shared" si="77"/>
        <v>798</v>
      </c>
    </row>
    <row r="185" spans="1:2" x14ac:dyDescent="0.2">
      <c r="A185">
        <v>1140.0999999999999</v>
      </c>
      <c r="B185">
        <f t="shared" si="77"/>
        <v>848</v>
      </c>
    </row>
    <row r="186" spans="1:2" x14ac:dyDescent="0.2">
      <c r="A186">
        <v>1140.0999999999999</v>
      </c>
      <c r="B186">
        <f t="shared" si="77"/>
        <v>898</v>
      </c>
    </row>
    <row r="187" spans="1:2" x14ac:dyDescent="0.2">
      <c r="A187">
        <v>1140.0999999999999</v>
      </c>
      <c r="B187">
        <f t="shared" si="77"/>
        <v>948</v>
      </c>
    </row>
    <row r="188" spans="1:2" x14ac:dyDescent="0.2">
      <c r="A188">
        <v>1711.1</v>
      </c>
      <c r="B188">
        <v>298</v>
      </c>
    </row>
    <row r="189" spans="1:2" x14ac:dyDescent="0.2">
      <c r="A189">
        <v>1711.1</v>
      </c>
      <c r="B189">
        <f t="shared" ref="B189:B201" si="78">B188+50</f>
        <v>348</v>
      </c>
    </row>
    <row r="190" spans="1:2" x14ac:dyDescent="0.2">
      <c r="A190">
        <v>1711.1</v>
      </c>
      <c r="B190">
        <f t="shared" si="78"/>
        <v>398</v>
      </c>
    </row>
    <row r="191" spans="1:2" x14ac:dyDescent="0.2">
      <c r="A191">
        <v>1711.1</v>
      </c>
      <c r="B191">
        <f t="shared" si="78"/>
        <v>448</v>
      </c>
    </row>
    <row r="192" spans="1:2" x14ac:dyDescent="0.2">
      <c r="A192">
        <v>1711.1</v>
      </c>
      <c r="B192">
        <f t="shared" si="78"/>
        <v>498</v>
      </c>
    </row>
    <row r="193" spans="1:43" x14ac:dyDescent="0.2">
      <c r="A193">
        <v>1711.1</v>
      </c>
      <c r="B193">
        <f t="shared" si="78"/>
        <v>548</v>
      </c>
    </row>
    <row r="194" spans="1:43" x14ac:dyDescent="0.2">
      <c r="A194">
        <v>1711.1</v>
      </c>
      <c r="B194">
        <f t="shared" si="78"/>
        <v>598</v>
      </c>
    </row>
    <row r="195" spans="1:43" x14ac:dyDescent="0.2">
      <c r="A195">
        <v>1711.1</v>
      </c>
      <c r="B195">
        <f t="shared" si="78"/>
        <v>648</v>
      </c>
    </row>
    <row r="196" spans="1:43" x14ac:dyDescent="0.2">
      <c r="A196">
        <v>1711.1</v>
      </c>
      <c r="B196">
        <f t="shared" si="78"/>
        <v>698</v>
      </c>
    </row>
    <row r="197" spans="1:43" x14ac:dyDescent="0.2">
      <c r="A197">
        <v>1711.1</v>
      </c>
      <c r="B197">
        <f t="shared" si="78"/>
        <v>748</v>
      </c>
    </row>
    <row r="198" spans="1:43" x14ac:dyDescent="0.2">
      <c r="A198">
        <v>1711.1</v>
      </c>
      <c r="B198">
        <f t="shared" si="78"/>
        <v>798</v>
      </c>
    </row>
    <row r="199" spans="1:43" x14ac:dyDescent="0.2">
      <c r="A199">
        <v>1711.1</v>
      </c>
      <c r="B199">
        <f t="shared" si="78"/>
        <v>848</v>
      </c>
    </row>
    <row r="200" spans="1:43" x14ac:dyDescent="0.2">
      <c r="A200">
        <v>1711.1</v>
      </c>
      <c r="B200">
        <f t="shared" si="78"/>
        <v>898</v>
      </c>
    </row>
    <row r="201" spans="1:43" x14ac:dyDescent="0.2">
      <c r="A201">
        <v>1711.1</v>
      </c>
      <c r="B201">
        <f t="shared" si="78"/>
        <v>948</v>
      </c>
    </row>
    <row r="203" spans="1:43" ht="19" x14ac:dyDescent="0.25">
      <c r="A203" s="1" t="s">
        <v>103</v>
      </c>
      <c r="B203" s="63" t="s">
        <v>69</v>
      </c>
      <c r="C203" s="63"/>
      <c r="D203" s="63"/>
      <c r="E203" s="63"/>
      <c r="F203" s="63"/>
      <c r="G203" s="63"/>
      <c r="H203" s="63"/>
      <c r="I203" s="63"/>
      <c r="J203" s="63"/>
      <c r="K203" s="63"/>
      <c r="L203" s="63"/>
      <c r="M203" s="63"/>
      <c r="N203" s="63"/>
      <c r="O203" s="63"/>
      <c r="P203" s="63"/>
      <c r="Q203" s="63"/>
      <c r="R203" s="63"/>
      <c r="S203" s="63"/>
      <c r="T203" s="63"/>
      <c r="V203" s="1"/>
      <c r="W203" s="1"/>
      <c r="X203" s="1"/>
      <c r="Y203" s="1"/>
      <c r="Z203" s="1"/>
      <c r="AA203" s="1"/>
      <c r="AB203" s="1"/>
      <c r="AC203" s="1"/>
      <c r="AD203" s="1"/>
      <c r="AE203" s="1"/>
      <c r="AF203" s="1"/>
      <c r="AG203" s="1"/>
      <c r="AH203" s="1"/>
      <c r="AI203" s="1"/>
      <c r="AJ203" s="1"/>
      <c r="AK203" s="1"/>
      <c r="AL203" s="1"/>
      <c r="AM203" s="1"/>
      <c r="AO203" s="1"/>
      <c r="AP203" s="1"/>
      <c r="AQ203" s="1"/>
    </row>
    <row r="204" spans="1:43" ht="17" thickBot="1" x14ac:dyDescent="0.25">
      <c r="A204" s="32" t="s">
        <v>96</v>
      </c>
      <c r="B204" s="32" t="s">
        <v>97</v>
      </c>
      <c r="C204" s="13" t="s">
        <v>0</v>
      </c>
      <c r="D204" s="13" t="s">
        <v>1</v>
      </c>
      <c r="E204" s="13" t="s">
        <v>2</v>
      </c>
      <c r="F204" s="13" t="s">
        <v>3</v>
      </c>
      <c r="G204" s="13" t="s">
        <v>4</v>
      </c>
      <c r="H204" s="13" t="s">
        <v>5</v>
      </c>
      <c r="I204" s="13" t="s">
        <v>6</v>
      </c>
      <c r="J204" s="13" t="s">
        <v>7</v>
      </c>
      <c r="K204" s="13" t="s">
        <v>8</v>
      </c>
      <c r="L204" s="13" t="s">
        <v>9</v>
      </c>
      <c r="M204" s="13" t="s">
        <v>10</v>
      </c>
      <c r="N204" s="13" t="s">
        <v>11</v>
      </c>
      <c r="O204" s="13" t="s">
        <v>12</v>
      </c>
      <c r="P204" s="13" t="s">
        <v>13</v>
      </c>
      <c r="Q204" s="13" t="s">
        <v>14</v>
      </c>
      <c r="R204" s="13" t="s">
        <v>15</v>
      </c>
      <c r="S204" s="13" t="s">
        <v>16</v>
      </c>
      <c r="T204" s="13" t="s">
        <v>17</v>
      </c>
      <c r="V204" s="31"/>
      <c r="W204" s="31"/>
      <c r="X204" s="31"/>
      <c r="Y204" s="31"/>
      <c r="Z204" s="31"/>
      <c r="AA204" s="31"/>
      <c r="AB204" s="31"/>
      <c r="AC204" s="31"/>
      <c r="AD204" s="31"/>
      <c r="AE204" s="31"/>
      <c r="AF204" s="31"/>
      <c r="AG204" s="31"/>
      <c r="AH204" s="31"/>
      <c r="AI204" s="31"/>
      <c r="AJ204" s="31"/>
      <c r="AK204" s="31"/>
      <c r="AL204" s="31"/>
      <c r="AM204" s="31"/>
      <c r="AO204" s="1"/>
      <c r="AP204" s="1"/>
      <c r="AQ204" s="33"/>
    </row>
    <row r="205" spans="1:43" x14ac:dyDescent="0.2">
      <c r="A205">
        <v>0.1</v>
      </c>
      <c r="B205">
        <v>298</v>
      </c>
    </row>
    <row r="206" spans="1:43" x14ac:dyDescent="0.2">
      <c r="A206">
        <v>0.1</v>
      </c>
      <c r="B206">
        <f t="shared" ref="B206:B218" si="79">B205+50</f>
        <v>348</v>
      </c>
    </row>
    <row r="207" spans="1:43" x14ac:dyDescent="0.2">
      <c r="A207">
        <v>0.1</v>
      </c>
      <c r="B207">
        <f t="shared" si="79"/>
        <v>398</v>
      </c>
    </row>
    <row r="208" spans="1:43" x14ac:dyDescent="0.2">
      <c r="A208">
        <v>0.1</v>
      </c>
      <c r="B208">
        <f t="shared" si="79"/>
        <v>448</v>
      </c>
    </row>
    <row r="209" spans="1:2" x14ac:dyDescent="0.2">
      <c r="A209">
        <v>0.1</v>
      </c>
      <c r="B209">
        <f t="shared" si="79"/>
        <v>498</v>
      </c>
    </row>
    <row r="210" spans="1:2" x14ac:dyDescent="0.2">
      <c r="A210">
        <v>0.1</v>
      </c>
      <c r="B210">
        <f t="shared" si="79"/>
        <v>548</v>
      </c>
    </row>
    <row r="211" spans="1:2" x14ac:dyDescent="0.2">
      <c r="A211">
        <v>0.1</v>
      </c>
      <c r="B211">
        <f t="shared" si="79"/>
        <v>598</v>
      </c>
    </row>
    <row r="212" spans="1:2" x14ac:dyDescent="0.2">
      <c r="A212">
        <v>0.1</v>
      </c>
      <c r="B212">
        <f t="shared" si="79"/>
        <v>648</v>
      </c>
    </row>
    <row r="213" spans="1:2" x14ac:dyDescent="0.2">
      <c r="A213">
        <v>0.1</v>
      </c>
      <c r="B213">
        <f t="shared" si="79"/>
        <v>698</v>
      </c>
    </row>
    <row r="214" spans="1:2" x14ac:dyDescent="0.2">
      <c r="A214">
        <v>0.1</v>
      </c>
      <c r="B214">
        <f t="shared" si="79"/>
        <v>748</v>
      </c>
    </row>
    <row r="215" spans="1:2" x14ac:dyDescent="0.2">
      <c r="A215">
        <v>0.1</v>
      </c>
      <c r="B215">
        <f t="shared" si="79"/>
        <v>798</v>
      </c>
    </row>
    <row r="216" spans="1:2" x14ac:dyDescent="0.2">
      <c r="A216">
        <v>0.1</v>
      </c>
      <c r="B216">
        <f t="shared" si="79"/>
        <v>848</v>
      </c>
    </row>
    <row r="217" spans="1:2" x14ac:dyDescent="0.2">
      <c r="A217">
        <v>0.1</v>
      </c>
      <c r="B217">
        <f t="shared" si="79"/>
        <v>898</v>
      </c>
    </row>
    <row r="218" spans="1:2" x14ac:dyDescent="0.2">
      <c r="A218">
        <v>0.1</v>
      </c>
      <c r="B218">
        <f t="shared" si="79"/>
        <v>948</v>
      </c>
    </row>
    <row r="219" spans="1:2" x14ac:dyDescent="0.2">
      <c r="A219">
        <v>570.1</v>
      </c>
      <c r="B219">
        <v>298</v>
      </c>
    </row>
    <row r="220" spans="1:2" x14ac:dyDescent="0.2">
      <c r="A220">
        <v>570.1</v>
      </c>
      <c r="B220">
        <f t="shared" ref="B220:B232" si="80">B219+50</f>
        <v>348</v>
      </c>
    </row>
    <row r="221" spans="1:2" x14ac:dyDescent="0.2">
      <c r="A221">
        <v>570.1</v>
      </c>
      <c r="B221">
        <f t="shared" si="80"/>
        <v>398</v>
      </c>
    </row>
    <row r="222" spans="1:2" x14ac:dyDescent="0.2">
      <c r="A222">
        <v>570.1</v>
      </c>
      <c r="B222">
        <f t="shared" si="80"/>
        <v>448</v>
      </c>
    </row>
    <row r="223" spans="1:2" x14ac:dyDescent="0.2">
      <c r="A223">
        <v>570.1</v>
      </c>
      <c r="B223">
        <f t="shared" si="80"/>
        <v>498</v>
      </c>
    </row>
    <row r="224" spans="1:2" x14ac:dyDescent="0.2">
      <c r="A224">
        <v>570.1</v>
      </c>
      <c r="B224">
        <f t="shared" si="80"/>
        <v>548</v>
      </c>
    </row>
    <row r="225" spans="1:2" x14ac:dyDescent="0.2">
      <c r="A225">
        <v>570.1</v>
      </c>
      <c r="B225">
        <f t="shared" si="80"/>
        <v>598</v>
      </c>
    </row>
    <row r="226" spans="1:2" x14ac:dyDescent="0.2">
      <c r="A226">
        <v>570.1</v>
      </c>
      <c r="B226">
        <f t="shared" si="80"/>
        <v>648</v>
      </c>
    </row>
    <row r="227" spans="1:2" x14ac:dyDescent="0.2">
      <c r="A227">
        <v>570.1</v>
      </c>
      <c r="B227">
        <f t="shared" si="80"/>
        <v>698</v>
      </c>
    </row>
    <row r="228" spans="1:2" x14ac:dyDescent="0.2">
      <c r="A228">
        <v>570.1</v>
      </c>
      <c r="B228">
        <f t="shared" si="80"/>
        <v>748</v>
      </c>
    </row>
    <row r="229" spans="1:2" x14ac:dyDescent="0.2">
      <c r="A229">
        <v>570.1</v>
      </c>
      <c r="B229">
        <f t="shared" si="80"/>
        <v>798</v>
      </c>
    </row>
    <row r="230" spans="1:2" x14ac:dyDescent="0.2">
      <c r="A230">
        <v>570.1</v>
      </c>
      <c r="B230">
        <f t="shared" si="80"/>
        <v>848</v>
      </c>
    </row>
    <row r="231" spans="1:2" x14ac:dyDescent="0.2">
      <c r="A231">
        <v>570.1</v>
      </c>
      <c r="B231">
        <f t="shared" si="80"/>
        <v>898</v>
      </c>
    </row>
    <row r="232" spans="1:2" x14ac:dyDescent="0.2">
      <c r="A232">
        <v>570.1</v>
      </c>
      <c r="B232">
        <f t="shared" si="80"/>
        <v>948</v>
      </c>
    </row>
    <row r="233" spans="1:2" x14ac:dyDescent="0.2">
      <c r="A233">
        <v>1140.0999999999999</v>
      </c>
      <c r="B233">
        <v>298</v>
      </c>
    </row>
    <row r="234" spans="1:2" x14ac:dyDescent="0.2">
      <c r="A234">
        <v>1140.0999999999999</v>
      </c>
      <c r="B234">
        <f t="shared" ref="B234:B246" si="81">B233+50</f>
        <v>348</v>
      </c>
    </row>
    <row r="235" spans="1:2" x14ac:dyDescent="0.2">
      <c r="A235">
        <v>1140.0999999999999</v>
      </c>
      <c r="B235">
        <f t="shared" si="81"/>
        <v>398</v>
      </c>
    </row>
    <row r="236" spans="1:2" x14ac:dyDescent="0.2">
      <c r="A236">
        <v>1140.0999999999999</v>
      </c>
      <c r="B236">
        <f t="shared" si="81"/>
        <v>448</v>
      </c>
    </row>
    <row r="237" spans="1:2" x14ac:dyDescent="0.2">
      <c r="A237">
        <v>1140.0999999999999</v>
      </c>
      <c r="B237">
        <f t="shared" si="81"/>
        <v>498</v>
      </c>
    </row>
    <row r="238" spans="1:2" x14ac:dyDescent="0.2">
      <c r="A238">
        <v>1140.0999999999999</v>
      </c>
      <c r="B238">
        <f t="shared" si="81"/>
        <v>548</v>
      </c>
    </row>
    <row r="239" spans="1:2" x14ac:dyDescent="0.2">
      <c r="A239">
        <v>1140.0999999999999</v>
      </c>
      <c r="B239">
        <f t="shared" si="81"/>
        <v>598</v>
      </c>
    </row>
    <row r="240" spans="1:2" x14ac:dyDescent="0.2">
      <c r="A240">
        <v>1140.0999999999999</v>
      </c>
      <c r="B240">
        <f t="shared" si="81"/>
        <v>648</v>
      </c>
    </row>
    <row r="241" spans="1:2" x14ac:dyDescent="0.2">
      <c r="A241">
        <v>1140.0999999999999</v>
      </c>
      <c r="B241">
        <f t="shared" si="81"/>
        <v>698</v>
      </c>
    </row>
    <row r="242" spans="1:2" x14ac:dyDescent="0.2">
      <c r="A242">
        <v>1140.0999999999999</v>
      </c>
      <c r="B242">
        <f t="shared" si="81"/>
        <v>748</v>
      </c>
    </row>
    <row r="243" spans="1:2" x14ac:dyDescent="0.2">
      <c r="A243">
        <v>1140.0999999999999</v>
      </c>
      <c r="B243">
        <f t="shared" si="81"/>
        <v>798</v>
      </c>
    </row>
    <row r="244" spans="1:2" x14ac:dyDescent="0.2">
      <c r="A244">
        <v>1140.0999999999999</v>
      </c>
      <c r="B244">
        <f t="shared" si="81"/>
        <v>848</v>
      </c>
    </row>
    <row r="245" spans="1:2" x14ac:dyDescent="0.2">
      <c r="A245">
        <v>1140.0999999999999</v>
      </c>
      <c r="B245">
        <f t="shared" si="81"/>
        <v>898</v>
      </c>
    </row>
    <row r="246" spans="1:2" x14ac:dyDescent="0.2">
      <c r="A246">
        <v>1140.0999999999999</v>
      </c>
      <c r="B246">
        <f t="shared" si="81"/>
        <v>948</v>
      </c>
    </row>
    <row r="247" spans="1:2" x14ac:dyDescent="0.2">
      <c r="A247">
        <v>1711.1</v>
      </c>
      <c r="B247">
        <v>298</v>
      </c>
    </row>
    <row r="248" spans="1:2" x14ac:dyDescent="0.2">
      <c r="A248">
        <v>1711.1</v>
      </c>
      <c r="B248">
        <f t="shared" ref="B248:B260" si="82">B247+50</f>
        <v>348</v>
      </c>
    </row>
    <row r="249" spans="1:2" x14ac:dyDescent="0.2">
      <c r="A249">
        <v>1711.1</v>
      </c>
      <c r="B249">
        <f t="shared" si="82"/>
        <v>398</v>
      </c>
    </row>
    <row r="250" spans="1:2" x14ac:dyDescent="0.2">
      <c r="A250">
        <v>1711.1</v>
      </c>
      <c r="B250">
        <f t="shared" si="82"/>
        <v>448</v>
      </c>
    </row>
    <row r="251" spans="1:2" x14ac:dyDescent="0.2">
      <c r="A251">
        <v>1711.1</v>
      </c>
      <c r="B251">
        <f t="shared" si="82"/>
        <v>498</v>
      </c>
    </row>
    <row r="252" spans="1:2" x14ac:dyDescent="0.2">
      <c r="A252">
        <v>1711.1</v>
      </c>
      <c r="B252">
        <f t="shared" si="82"/>
        <v>548</v>
      </c>
    </row>
    <row r="253" spans="1:2" x14ac:dyDescent="0.2">
      <c r="A253">
        <v>1711.1</v>
      </c>
      <c r="B253">
        <f t="shared" si="82"/>
        <v>598</v>
      </c>
    </row>
    <row r="254" spans="1:2" x14ac:dyDescent="0.2">
      <c r="A254">
        <v>1711.1</v>
      </c>
      <c r="B254">
        <f t="shared" si="82"/>
        <v>648</v>
      </c>
    </row>
    <row r="255" spans="1:2" x14ac:dyDescent="0.2">
      <c r="A255">
        <v>1711.1</v>
      </c>
      <c r="B255">
        <f t="shared" si="82"/>
        <v>698</v>
      </c>
    </row>
    <row r="256" spans="1:2" x14ac:dyDescent="0.2">
      <c r="A256">
        <v>1711.1</v>
      </c>
      <c r="B256">
        <f t="shared" si="82"/>
        <v>748</v>
      </c>
    </row>
    <row r="257" spans="1:43" x14ac:dyDescent="0.2">
      <c r="A257">
        <v>1711.1</v>
      </c>
      <c r="B257">
        <f t="shared" si="82"/>
        <v>798</v>
      </c>
    </row>
    <row r="258" spans="1:43" x14ac:dyDescent="0.2">
      <c r="A258">
        <v>1711.1</v>
      </c>
      <c r="B258">
        <f t="shared" si="82"/>
        <v>848</v>
      </c>
    </row>
    <row r="259" spans="1:43" x14ac:dyDescent="0.2">
      <c r="A259">
        <v>1711.1</v>
      </c>
      <c r="B259">
        <f t="shared" si="82"/>
        <v>898</v>
      </c>
    </row>
    <row r="260" spans="1:43" x14ac:dyDescent="0.2">
      <c r="A260">
        <v>1711.1</v>
      </c>
      <c r="B260">
        <f t="shared" si="82"/>
        <v>948</v>
      </c>
    </row>
    <row r="262" spans="1:43" ht="18" x14ac:dyDescent="0.2">
      <c r="A262" s="1" t="s">
        <v>104</v>
      </c>
      <c r="B262" s="63" t="s">
        <v>70</v>
      </c>
      <c r="C262" s="63"/>
      <c r="D262" s="63"/>
      <c r="E262" s="63"/>
      <c r="F262" s="63"/>
      <c r="G262" s="63"/>
      <c r="H262" s="63"/>
      <c r="I262" s="63"/>
      <c r="J262" s="63"/>
      <c r="K262" s="63"/>
      <c r="L262" s="63"/>
      <c r="M262" s="63"/>
      <c r="N262" s="63"/>
      <c r="O262" s="63"/>
      <c r="P262" s="63"/>
      <c r="Q262" s="63"/>
      <c r="R262" s="63"/>
      <c r="S262" s="63"/>
      <c r="T262" s="63"/>
      <c r="V262" s="1"/>
      <c r="W262" s="1"/>
      <c r="X262" s="1"/>
      <c r="Y262" s="1"/>
      <c r="Z262" s="1"/>
      <c r="AA262" s="1"/>
      <c r="AB262" s="1"/>
      <c r="AC262" s="1"/>
      <c r="AD262" s="1"/>
      <c r="AE262" s="1"/>
      <c r="AF262" s="1"/>
      <c r="AG262" s="1"/>
      <c r="AH262" s="1"/>
      <c r="AI262" s="1"/>
      <c r="AJ262" s="1"/>
      <c r="AK262" s="1"/>
      <c r="AL262" s="1"/>
      <c r="AM262" s="1"/>
      <c r="AO262" s="1"/>
      <c r="AP262" s="1"/>
      <c r="AQ262" s="1"/>
    </row>
    <row r="263" spans="1:43" ht="17" thickBot="1" x14ac:dyDescent="0.25">
      <c r="A263" s="32" t="s">
        <v>96</v>
      </c>
      <c r="B263" s="32" t="s">
        <v>97</v>
      </c>
      <c r="C263" s="13" t="s">
        <v>0</v>
      </c>
      <c r="D263" s="13" t="s">
        <v>1</v>
      </c>
      <c r="E263" s="13" t="s">
        <v>2</v>
      </c>
      <c r="F263" s="13" t="s">
        <v>3</v>
      </c>
      <c r="G263" s="13" t="s">
        <v>4</v>
      </c>
      <c r="H263" s="13" t="s">
        <v>5</v>
      </c>
      <c r="I263" s="13" t="s">
        <v>6</v>
      </c>
      <c r="J263" s="13" t="s">
        <v>7</v>
      </c>
      <c r="K263" s="13" t="s">
        <v>8</v>
      </c>
      <c r="L263" s="13" t="s">
        <v>9</v>
      </c>
      <c r="M263" s="13" t="s">
        <v>10</v>
      </c>
      <c r="N263" s="13" t="s">
        <v>11</v>
      </c>
      <c r="O263" s="13" t="s">
        <v>12</v>
      </c>
      <c r="P263" s="13" t="s">
        <v>13</v>
      </c>
      <c r="Q263" s="13" t="s">
        <v>14</v>
      </c>
      <c r="R263" s="13" t="s">
        <v>15</v>
      </c>
      <c r="S263" s="13" t="s">
        <v>16</v>
      </c>
      <c r="T263" s="13" t="s">
        <v>17</v>
      </c>
      <c r="V263" s="31"/>
      <c r="W263" s="31"/>
      <c r="X263" s="31"/>
      <c r="Y263" s="31"/>
      <c r="Z263" s="31"/>
      <c r="AA263" s="31"/>
      <c r="AB263" s="31"/>
      <c r="AC263" s="31"/>
      <c r="AD263" s="31"/>
      <c r="AE263" s="31"/>
      <c r="AF263" s="31"/>
      <c r="AG263" s="31"/>
      <c r="AH263" s="31"/>
      <c r="AI263" s="31"/>
      <c r="AJ263" s="31"/>
      <c r="AK263" s="31"/>
      <c r="AL263" s="31"/>
      <c r="AM263" s="31"/>
      <c r="AO263" s="1"/>
      <c r="AP263" s="1"/>
      <c r="AQ263" s="33"/>
    </row>
    <row r="264" spans="1:43" x14ac:dyDescent="0.2">
      <c r="A264">
        <v>0.1</v>
      </c>
      <c r="B264">
        <v>298</v>
      </c>
    </row>
    <row r="265" spans="1:43" x14ac:dyDescent="0.2">
      <c r="A265">
        <v>0.1</v>
      </c>
      <c r="B265">
        <f t="shared" ref="B265:B277" si="83">B264+50</f>
        <v>348</v>
      </c>
    </row>
    <row r="266" spans="1:43" x14ac:dyDescent="0.2">
      <c r="A266">
        <v>0.1</v>
      </c>
      <c r="B266">
        <f t="shared" si="83"/>
        <v>398</v>
      </c>
    </row>
    <row r="267" spans="1:43" x14ac:dyDescent="0.2">
      <c r="A267">
        <v>0.1</v>
      </c>
      <c r="B267">
        <f t="shared" si="83"/>
        <v>448</v>
      </c>
    </row>
    <row r="268" spans="1:43" x14ac:dyDescent="0.2">
      <c r="A268">
        <v>0.1</v>
      </c>
      <c r="B268">
        <f t="shared" si="83"/>
        <v>498</v>
      </c>
    </row>
    <row r="269" spans="1:43" x14ac:dyDescent="0.2">
      <c r="A269">
        <v>0.1</v>
      </c>
      <c r="B269">
        <f t="shared" si="83"/>
        <v>548</v>
      </c>
    </row>
    <row r="270" spans="1:43" x14ac:dyDescent="0.2">
      <c r="A270">
        <v>0.1</v>
      </c>
      <c r="B270">
        <f t="shared" si="83"/>
        <v>598</v>
      </c>
    </row>
    <row r="271" spans="1:43" x14ac:dyDescent="0.2">
      <c r="A271">
        <v>0.1</v>
      </c>
      <c r="B271">
        <f t="shared" si="83"/>
        <v>648</v>
      </c>
    </row>
    <row r="272" spans="1:43" x14ac:dyDescent="0.2">
      <c r="A272">
        <v>0.1</v>
      </c>
      <c r="B272">
        <f t="shared" si="83"/>
        <v>698</v>
      </c>
    </row>
    <row r="273" spans="1:2" x14ac:dyDescent="0.2">
      <c r="A273">
        <v>0.1</v>
      </c>
      <c r="B273">
        <f t="shared" si="83"/>
        <v>748</v>
      </c>
    </row>
    <row r="274" spans="1:2" x14ac:dyDescent="0.2">
      <c r="A274">
        <v>0.1</v>
      </c>
      <c r="B274">
        <f t="shared" si="83"/>
        <v>798</v>
      </c>
    </row>
    <row r="275" spans="1:2" x14ac:dyDescent="0.2">
      <c r="A275">
        <v>0.1</v>
      </c>
      <c r="B275">
        <f t="shared" si="83"/>
        <v>848</v>
      </c>
    </row>
    <row r="276" spans="1:2" x14ac:dyDescent="0.2">
      <c r="A276">
        <v>0.1</v>
      </c>
      <c r="B276">
        <f t="shared" si="83"/>
        <v>898</v>
      </c>
    </row>
    <row r="277" spans="1:2" x14ac:dyDescent="0.2">
      <c r="A277">
        <v>0.1</v>
      </c>
      <c r="B277">
        <f t="shared" si="83"/>
        <v>948</v>
      </c>
    </row>
    <row r="278" spans="1:2" x14ac:dyDescent="0.2">
      <c r="A278">
        <v>570.1</v>
      </c>
      <c r="B278">
        <v>298</v>
      </c>
    </row>
    <row r="279" spans="1:2" x14ac:dyDescent="0.2">
      <c r="A279">
        <v>570.1</v>
      </c>
      <c r="B279">
        <f t="shared" ref="B279:B291" si="84">B278+50</f>
        <v>348</v>
      </c>
    </row>
    <row r="280" spans="1:2" x14ac:dyDescent="0.2">
      <c r="A280">
        <v>570.1</v>
      </c>
      <c r="B280">
        <f t="shared" si="84"/>
        <v>398</v>
      </c>
    </row>
    <row r="281" spans="1:2" x14ac:dyDescent="0.2">
      <c r="A281">
        <v>570.1</v>
      </c>
      <c r="B281">
        <f t="shared" si="84"/>
        <v>448</v>
      </c>
    </row>
    <row r="282" spans="1:2" x14ac:dyDescent="0.2">
      <c r="A282">
        <v>570.1</v>
      </c>
      <c r="B282">
        <f t="shared" si="84"/>
        <v>498</v>
      </c>
    </row>
    <row r="283" spans="1:2" x14ac:dyDescent="0.2">
      <c r="A283">
        <v>570.1</v>
      </c>
      <c r="B283">
        <f t="shared" si="84"/>
        <v>548</v>
      </c>
    </row>
    <row r="284" spans="1:2" x14ac:dyDescent="0.2">
      <c r="A284">
        <v>570.1</v>
      </c>
      <c r="B284">
        <f t="shared" si="84"/>
        <v>598</v>
      </c>
    </row>
    <row r="285" spans="1:2" x14ac:dyDescent="0.2">
      <c r="A285">
        <v>570.1</v>
      </c>
      <c r="B285">
        <f t="shared" si="84"/>
        <v>648</v>
      </c>
    </row>
    <row r="286" spans="1:2" x14ac:dyDescent="0.2">
      <c r="A286">
        <v>570.1</v>
      </c>
      <c r="B286">
        <f t="shared" si="84"/>
        <v>698</v>
      </c>
    </row>
    <row r="287" spans="1:2" x14ac:dyDescent="0.2">
      <c r="A287">
        <v>570.1</v>
      </c>
      <c r="B287">
        <f t="shared" si="84"/>
        <v>748</v>
      </c>
    </row>
    <row r="288" spans="1:2" x14ac:dyDescent="0.2">
      <c r="A288">
        <v>570.1</v>
      </c>
      <c r="B288">
        <f t="shared" si="84"/>
        <v>798</v>
      </c>
    </row>
    <row r="289" spans="1:2" x14ac:dyDescent="0.2">
      <c r="A289">
        <v>570.1</v>
      </c>
      <c r="B289">
        <f t="shared" si="84"/>
        <v>848</v>
      </c>
    </row>
    <row r="290" spans="1:2" x14ac:dyDescent="0.2">
      <c r="A290">
        <v>570.1</v>
      </c>
      <c r="B290">
        <f t="shared" si="84"/>
        <v>898</v>
      </c>
    </row>
    <row r="291" spans="1:2" x14ac:dyDescent="0.2">
      <c r="A291">
        <v>570.1</v>
      </c>
      <c r="B291">
        <f t="shared" si="84"/>
        <v>948</v>
      </c>
    </row>
    <row r="292" spans="1:2" x14ac:dyDescent="0.2">
      <c r="A292">
        <v>1140.0999999999999</v>
      </c>
      <c r="B292">
        <v>298</v>
      </c>
    </row>
    <row r="293" spans="1:2" x14ac:dyDescent="0.2">
      <c r="A293">
        <v>1140.0999999999999</v>
      </c>
      <c r="B293">
        <f t="shared" ref="B293:B305" si="85">B292+50</f>
        <v>348</v>
      </c>
    </row>
    <row r="294" spans="1:2" x14ac:dyDescent="0.2">
      <c r="A294">
        <v>1140.0999999999999</v>
      </c>
      <c r="B294">
        <f t="shared" si="85"/>
        <v>398</v>
      </c>
    </row>
    <row r="295" spans="1:2" x14ac:dyDescent="0.2">
      <c r="A295">
        <v>1140.0999999999999</v>
      </c>
      <c r="B295">
        <f t="shared" si="85"/>
        <v>448</v>
      </c>
    </row>
    <row r="296" spans="1:2" x14ac:dyDescent="0.2">
      <c r="A296">
        <v>1140.0999999999999</v>
      </c>
      <c r="B296">
        <f t="shared" si="85"/>
        <v>498</v>
      </c>
    </row>
    <row r="297" spans="1:2" x14ac:dyDescent="0.2">
      <c r="A297">
        <v>1140.0999999999999</v>
      </c>
      <c r="B297">
        <f t="shared" si="85"/>
        <v>548</v>
      </c>
    </row>
    <row r="298" spans="1:2" x14ac:dyDescent="0.2">
      <c r="A298">
        <v>1140.0999999999999</v>
      </c>
      <c r="B298">
        <f t="shared" si="85"/>
        <v>598</v>
      </c>
    </row>
    <row r="299" spans="1:2" x14ac:dyDescent="0.2">
      <c r="A299">
        <v>1140.0999999999999</v>
      </c>
      <c r="B299">
        <f t="shared" si="85"/>
        <v>648</v>
      </c>
    </row>
    <row r="300" spans="1:2" x14ac:dyDescent="0.2">
      <c r="A300">
        <v>1140.0999999999999</v>
      </c>
      <c r="B300">
        <f t="shared" si="85"/>
        <v>698</v>
      </c>
    </row>
    <row r="301" spans="1:2" x14ac:dyDescent="0.2">
      <c r="A301">
        <v>1140.0999999999999</v>
      </c>
      <c r="B301">
        <f t="shared" si="85"/>
        <v>748</v>
      </c>
    </row>
    <row r="302" spans="1:2" x14ac:dyDescent="0.2">
      <c r="A302">
        <v>1140.0999999999999</v>
      </c>
      <c r="B302">
        <f t="shared" si="85"/>
        <v>798</v>
      </c>
    </row>
    <row r="303" spans="1:2" x14ac:dyDescent="0.2">
      <c r="A303">
        <v>1140.0999999999999</v>
      </c>
      <c r="B303">
        <f t="shared" si="85"/>
        <v>848</v>
      </c>
    </row>
    <row r="304" spans="1:2" x14ac:dyDescent="0.2">
      <c r="A304">
        <v>1140.0999999999999</v>
      </c>
      <c r="B304">
        <f t="shared" si="85"/>
        <v>898</v>
      </c>
    </row>
    <row r="305" spans="1:2" x14ac:dyDescent="0.2">
      <c r="A305">
        <v>1140.0999999999999</v>
      </c>
      <c r="B305">
        <f t="shared" si="85"/>
        <v>948</v>
      </c>
    </row>
    <row r="306" spans="1:2" x14ac:dyDescent="0.2">
      <c r="A306">
        <v>1711.1</v>
      </c>
      <c r="B306">
        <v>298</v>
      </c>
    </row>
    <row r="307" spans="1:2" x14ac:dyDescent="0.2">
      <c r="A307">
        <v>1711.1</v>
      </c>
      <c r="B307">
        <f t="shared" ref="B307:B319" si="86">B306+50</f>
        <v>348</v>
      </c>
    </row>
    <row r="308" spans="1:2" x14ac:dyDescent="0.2">
      <c r="A308">
        <v>1711.1</v>
      </c>
      <c r="B308">
        <f t="shared" si="86"/>
        <v>398</v>
      </c>
    </row>
    <row r="309" spans="1:2" x14ac:dyDescent="0.2">
      <c r="A309">
        <v>1711.1</v>
      </c>
      <c r="B309">
        <f t="shared" si="86"/>
        <v>448</v>
      </c>
    </row>
    <row r="310" spans="1:2" x14ac:dyDescent="0.2">
      <c r="A310">
        <v>1711.1</v>
      </c>
      <c r="B310">
        <f t="shared" si="86"/>
        <v>498</v>
      </c>
    </row>
    <row r="311" spans="1:2" x14ac:dyDescent="0.2">
      <c r="A311">
        <v>1711.1</v>
      </c>
      <c r="B311">
        <f t="shared" si="86"/>
        <v>548</v>
      </c>
    </row>
    <row r="312" spans="1:2" x14ac:dyDescent="0.2">
      <c r="A312">
        <v>1711.1</v>
      </c>
      <c r="B312">
        <f t="shared" si="86"/>
        <v>598</v>
      </c>
    </row>
    <row r="313" spans="1:2" x14ac:dyDescent="0.2">
      <c r="A313">
        <v>1711.1</v>
      </c>
      <c r="B313">
        <f t="shared" si="86"/>
        <v>648</v>
      </c>
    </row>
    <row r="314" spans="1:2" x14ac:dyDescent="0.2">
      <c r="A314">
        <v>1711.1</v>
      </c>
      <c r="B314">
        <f t="shared" si="86"/>
        <v>698</v>
      </c>
    </row>
    <row r="315" spans="1:2" x14ac:dyDescent="0.2">
      <c r="A315">
        <v>1711.1</v>
      </c>
      <c r="B315">
        <f t="shared" si="86"/>
        <v>748</v>
      </c>
    </row>
    <row r="316" spans="1:2" x14ac:dyDescent="0.2">
      <c r="A316">
        <v>1711.1</v>
      </c>
      <c r="B316">
        <f t="shared" si="86"/>
        <v>798</v>
      </c>
    </row>
    <row r="317" spans="1:2" x14ac:dyDescent="0.2">
      <c r="A317">
        <v>1711.1</v>
      </c>
      <c r="B317">
        <f t="shared" si="86"/>
        <v>848</v>
      </c>
    </row>
    <row r="318" spans="1:2" x14ac:dyDescent="0.2">
      <c r="A318">
        <v>1711.1</v>
      </c>
      <c r="B318">
        <f t="shared" si="86"/>
        <v>898</v>
      </c>
    </row>
    <row r="319" spans="1:2" x14ac:dyDescent="0.2">
      <c r="A319">
        <v>1711.1</v>
      </c>
      <c r="B319">
        <f t="shared" si="86"/>
        <v>948</v>
      </c>
    </row>
    <row r="321" spans="1:43" ht="18" x14ac:dyDescent="0.25">
      <c r="A321" s="1" t="s">
        <v>105</v>
      </c>
      <c r="B321" s="63" t="s">
        <v>83</v>
      </c>
      <c r="C321" s="63"/>
      <c r="D321" s="63"/>
      <c r="E321" s="63"/>
      <c r="F321" s="63"/>
      <c r="G321" s="63"/>
      <c r="H321" s="63"/>
      <c r="I321" s="63"/>
      <c r="J321" s="63"/>
      <c r="K321" s="63"/>
      <c r="L321" s="63"/>
      <c r="M321" s="63"/>
      <c r="N321" s="63"/>
      <c r="O321" s="63"/>
      <c r="P321" s="63"/>
      <c r="Q321" s="63"/>
      <c r="R321" s="63"/>
      <c r="S321" s="63"/>
      <c r="T321" s="63"/>
      <c r="V321" s="1"/>
      <c r="W321" s="1"/>
      <c r="X321" s="1"/>
      <c r="Y321" s="1"/>
      <c r="Z321" s="1"/>
      <c r="AA321" s="1"/>
      <c r="AB321" s="1"/>
      <c r="AC321" s="1"/>
      <c r="AD321" s="1"/>
      <c r="AE321" s="1"/>
      <c r="AF321" s="1"/>
      <c r="AG321" s="1"/>
      <c r="AH321" s="1"/>
      <c r="AI321" s="1"/>
      <c r="AJ321" s="1"/>
      <c r="AK321" s="1"/>
      <c r="AL321" s="1"/>
      <c r="AM321" s="1"/>
      <c r="AO321" s="1"/>
      <c r="AP321" s="1"/>
      <c r="AQ321" s="1"/>
    </row>
    <row r="322" spans="1:43" ht="17" thickBot="1" x14ac:dyDescent="0.25">
      <c r="A322" s="32" t="s">
        <v>96</v>
      </c>
      <c r="B322" s="32" t="s">
        <v>97</v>
      </c>
      <c r="C322" s="13" t="s">
        <v>0</v>
      </c>
      <c r="D322" s="13" t="s">
        <v>1</v>
      </c>
      <c r="E322" s="13" t="s">
        <v>2</v>
      </c>
      <c r="F322" s="13" t="s">
        <v>3</v>
      </c>
      <c r="G322" s="13" t="s">
        <v>4</v>
      </c>
      <c r="H322" s="13" t="s">
        <v>5</v>
      </c>
      <c r="I322" s="13" t="s">
        <v>6</v>
      </c>
      <c r="J322" s="13" t="s">
        <v>7</v>
      </c>
      <c r="K322" s="13" t="s">
        <v>8</v>
      </c>
      <c r="L322" s="13" t="s">
        <v>9</v>
      </c>
      <c r="M322" s="13" t="s">
        <v>10</v>
      </c>
      <c r="N322" s="13" t="s">
        <v>11</v>
      </c>
      <c r="O322" s="13" t="s">
        <v>12</v>
      </c>
      <c r="P322" s="13" t="s">
        <v>13</v>
      </c>
      <c r="Q322" s="13" t="s">
        <v>14</v>
      </c>
      <c r="R322" s="13" t="s">
        <v>15</v>
      </c>
      <c r="S322" s="13" t="s">
        <v>16</v>
      </c>
      <c r="T322" s="13" t="s">
        <v>17</v>
      </c>
      <c r="V322" s="31"/>
      <c r="W322" s="31"/>
      <c r="X322" s="31"/>
      <c r="Y322" s="31"/>
      <c r="Z322" s="31"/>
      <c r="AA322" s="31"/>
      <c r="AB322" s="31"/>
      <c r="AC322" s="31"/>
      <c r="AD322" s="31"/>
      <c r="AE322" s="31"/>
      <c r="AF322" s="31"/>
      <c r="AG322" s="31"/>
      <c r="AH322" s="31"/>
      <c r="AI322" s="31"/>
      <c r="AJ322" s="31"/>
      <c r="AK322" s="31"/>
      <c r="AL322" s="31"/>
      <c r="AM322" s="31"/>
      <c r="AO322" s="1"/>
      <c r="AP322" s="1"/>
      <c r="AQ322" s="33"/>
    </row>
    <row r="323" spans="1:43" x14ac:dyDescent="0.2">
      <c r="A323">
        <v>0.1</v>
      </c>
      <c r="B323">
        <v>298</v>
      </c>
    </row>
    <row r="324" spans="1:43" x14ac:dyDescent="0.2">
      <c r="A324">
        <v>0.1</v>
      </c>
      <c r="B324">
        <f t="shared" ref="B324:B336" si="87">B323+50</f>
        <v>348</v>
      </c>
    </row>
    <row r="325" spans="1:43" x14ac:dyDescent="0.2">
      <c r="A325">
        <v>0.1</v>
      </c>
      <c r="B325">
        <f t="shared" si="87"/>
        <v>398</v>
      </c>
    </row>
    <row r="326" spans="1:43" x14ac:dyDescent="0.2">
      <c r="A326">
        <v>0.1</v>
      </c>
      <c r="B326">
        <f t="shared" si="87"/>
        <v>448</v>
      </c>
    </row>
    <row r="327" spans="1:43" x14ac:dyDescent="0.2">
      <c r="A327">
        <v>0.1</v>
      </c>
      <c r="B327">
        <f t="shared" si="87"/>
        <v>498</v>
      </c>
    </row>
    <row r="328" spans="1:43" x14ac:dyDescent="0.2">
      <c r="A328">
        <v>0.1</v>
      </c>
      <c r="B328">
        <f t="shared" si="87"/>
        <v>548</v>
      </c>
    </row>
    <row r="329" spans="1:43" x14ac:dyDescent="0.2">
      <c r="A329">
        <v>0.1</v>
      </c>
      <c r="B329">
        <f t="shared" si="87"/>
        <v>598</v>
      </c>
    </row>
    <row r="330" spans="1:43" x14ac:dyDescent="0.2">
      <c r="A330">
        <v>0.1</v>
      </c>
      <c r="B330">
        <f t="shared" si="87"/>
        <v>648</v>
      </c>
    </row>
    <row r="331" spans="1:43" x14ac:dyDescent="0.2">
      <c r="A331">
        <v>0.1</v>
      </c>
      <c r="B331">
        <f t="shared" si="87"/>
        <v>698</v>
      </c>
    </row>
    <row r="332" spans="1:43" x14ac:dyDescent="0.2">
      <c r="A332">
        <v>0.1</v>
      </c>
      <c r="B332">
        <f t="shared" si="87"/>
        <v>748</v>
      </c>
    </row>
    <row r="333" spans="1:43" x14ac:dyDescent="0.2">
      <c r="A333">
        <v>0.1</v>
      </c>
      <c r="B333">
        <f t="shared" si="87"/>
        <v>798</v>
      </c>
    </row>
    <row r="334" spans="1:43" x14ac:dyDescent="0.2">
      <c r="A334">
        <v>0.1</v>
      </c>
      <c r="B334">
        <f t="shared" si="87"/>
        <v>848</v>
      </c>
    </row>
    <row r="335" spans="1:43" x14ac:dyDescent="0.2">
      <c r="A335">
        <v>0.1</v>
      </c>
      <c r="B335">
        <f t="shared" si="87"/>
        <v>898</v>
      </c>
    </row>
    <row r="336" spans="1:43" x14ac:dyDescent="0.2">
      <c r="A336">
        <v>0.1</v>
      </c>
      <c r="B336">
        <f t="shared" si="87"/>
        <v>948</v>
      </c>
    </row>
    <row r="337" spans="1:2" x14ac:dyDescent="0.2">
      <c r="A337">
        <v>570.1</v>
      </c>
      <c r="B337">
        <v>298</v>
      </c>
    </row>
    <row r="338" spans="1:2" x14ac:dyDescent="0.2">
      <c r="A338">
        <v>570.1</v>
      </c>
      <c r="B338">
        <f t="shared" ref="B338:B350" si="88">B337+50</f>
        <v>348</v>
      </c>
    </row>
    <row r="339" spans="1:2" x14ac:dyDescent="0.2">
      <c r="A339">
        <v>570.1</v>
      </c>
      <c r="B339">
        <f t="shared" si="88"/>
        <v>398</v>
      </c>
    </row>
    <row r="340" spans="1:2" x14ac:dyDescent="0.2">
      <c r="A340">
        <v>570.1</v>
      </c>
      <c r="B340">
        <f t="shared" si="88"/>
        <v>448</v>
      </c>
    </row>
    <row r="341" spans="1:2" x14ac:dyDescent="0.2">
      <c r="A341">
        <v>570.1</v>
      </c>
      <c r="B341">
        <f t="shared" si="88"/>
        <v>498</v>
      </c>
    </row>
    <row r="342" spans="1:2" x14ac:dyDescent="0.2">
      <c r="A342">
        <v>570.1</v>
      </c>
      <c r="B342">
        <f t="shared" si="88"/>
        <v>548</v>
      </c>
    </row>
    <row r="343" spans="1:2" x14ac:dyDescent="0.2">
      <c r="A343">
        <v>570.1</v>
      </c>
      <c r="B343">
        <f t="shared" si="88"/>
        <v>598</v>
      </c>
    </row>
    <row r="344" spans="1:2" x14ac:dyDescent="0.2">
      <c r="A344">
        <v>570.1</v>
      </c>
      <c r="B344">
        <f t="shared" si="88"/>
        <v>648</v>
      </c>
    </row>
    <row r="345" spans="1:2" x14ac:dyDescent="0.2">
      <c r="A345">
        <v>570.1</v>
      </c>
      <c r="B345">
        <f t="shared" si="88"/>
        <v>698</v>
      </c>
    </row>
    <row r="346" spans="1:2" x14ac:dyDescent="0.2">
      <c r="A346">
        <v>570.1</v>
      </c>
      <c r="B346">
        <f t="shared" si="88"/>
        <v>748</v>
      </c>
    </row>
    <row r="347" spans="1:2" x14ac:dyDescent="0.2">
      <c r="A347">
        <v>570.1</v>
      </c>
      <c r="B347">
        <f t="shared" si="88"/>
        <v>798</v>
      </c>
    </row>
    <row r="348" spans="1:2" x14ac:dyDescent="0.2">
      <c r="A348">
        <v>570.1</v>
      </c>
      <c r="B348">
        <f t="shared" si="88"/>
        <v>848</v>
      </c>
    </row>
    <row r="349" spans="1:2" x14ac:dyDescent="0.2">
      <c r="A349">
        <v>570.1</v>
      </c>
      <c r="B349">
        <f t="shared" si="88"/>
        <v>898</v>
      </c>
    </row>
    <row r="350" spans="1:2" x14ac:dyDescent="0.2">
      <c r="A350">
        <v>570.1</v>
      </c>
      <c r="B350">
        <f t="shared" si="88"/>
        <v>948</v>
      </c>
    </row>
    <row r="351" spans="1:2" x14ac:dyDescent="0.2">
      <c r="A351">
        <v>1140.0999999999999</v>
      </c>
      <c r="B351">
        <v>298</v>
      </c>
    </row>
    <row r="352" spans="1:2" x14ac:dyDescent="0.2">
      <c r="A352">
        <v>1140.0999999999999</v>
      </c>
      <c r="B352">
        <f t="shared" ref="B352:B364" si="89">B351+50</f>
        <v>348</v>
      </c>
    </row>
    <row r="353" spans="1:2" x14ac:dyDescent="0.2">
      <c r="A353">
        <v>1140.0999999999999</v>
      </c>
      <c r="B353">
        <f t="shared" si="89"/>
        <v>398</v>
      </c>
    </row>
    <row r="354" spans="1:2" x14ac:dyDescent="0.2">
      <c r="A354">
        <v>1140.0999999999999</v>
      </c>
      <c r="B354">
        <f t="shared" si="89"/>
        <v>448</v>
      </c>
    </row>
    <row r="355" spans="1:2" x14ac:dyDescent="0.2">
      <c r="A355">
        <v>1140.0999999999999</v>
      </c>
      <c r="B355">
        <f t="shared" si="89"/>
        <v>498</v>
      </c>
    </row>
    <row r="356" spans="1:2" x14ac:dyDescent="0.2">
      <c r="A356">
        <v>1140.0999999999999</v>
      </c>
      <c r="B356">
        <f t="shared" si="89"/>
        <v>548</v>
      </c>
    </row>
    <row r="357" spans="1:2" x14ac:dyDescent="0.2">
      <c r="A357">
        <v>1140.0999999999999</v>
      </c>
      <c r="B357">
        <f t="shared" si="89"/>
        <v>598</v>
      </c>
    </row>
    <row r="358" spans="1:2" x14ac:dyDescent="0.2">
      <c r="A358">
        <v>1140.0999999999999</v>
      </c>
      <c r="B358">
        <f t="shared" si="89"/>
        <v>648</v>
      </c>
    </row>
    <row r="359" spans="1:2" x14ac:dyDescent="0.2">
      <c r="A359">
        <v>1140.0999999999999</v>
      </c>
      <c r="B359">
        <f t="shared" si="89"/>
        <v>698</v>
      </c>
    </row>
    <row r="360" spans="1:2" x14ac:dyDescent="0.2">
      <c r="A360">
        <v>1140.0999999999999</v>
      </c>
      <c r="B360">
        <f t="shared" si="89"/>
        <v>748</v>
      </c>
    </row>
    <row r="361" spans="1:2" x14ac:dyDescent="0.2">
      <c r="A361">
        <v>1140.0999999999999</v>
      </c>
      <c r="B361">
        <f t="shared" si="89"/>
        <v>798</v>
      </c>
    </row>
    <row r="362" spans="1:2" x14ac:dyDescent="0.2">
      <c r="A362">
        <v>1140.0999999999999</v>
      </c>
      <c r="B362">
        <f t="shared" si="89"/>
        <v>848</v>
      </c>
    </row>
    <row r="363" spans="1:2" x14ac:dyDescent="0.2">
      <c r="A363">
        <v>1140.0999999999999</v>
      </c>
      <c r="B363">
        <f t="shared" si="89"/>
        <v>898</v>
      </c>
    </row>
    <row r="364" spans="1:2" x14ac:dyDescent="0.2">
      <c r="A364">
        <v>1140.0999999999999</v>
      </c>
      <c r="B364">
        <f t="shared" si="89"/>
        <v>948</v>
      </c>
    </row>
    <row r="365" spans="1:2" x14ac:dyDescent="0.2">
      <c r="A365">
        <v>1711.1</v>
      </c>
      <c r="B365">
        <v>298</v>
      </c>
    </row>
    <row r="366" spans="1:2" x14ac:dyDescent="0.2">
      <c r="A366">
        <v>1711.1</v>
      </c>
      <c r="B366">
        <f t="shared" ref="B366:B378" si="90">B365+50</f>
        <v>348</v>
      </c>
    </row>
    <row r="367" spans="1:2" x14ac:dyDescent="0.2">
      <c r="A367">
        <v>1711.1</v>
      </c>
      <c r="B367">
        <f t="shared" si="90"/>
        <v>398</v>
      </c>
    </row>
    <row r="368" spans="1:2" x14ac:dyDescent="0.2">
      <c r="A368">
        <v>1711.1</v>
      </c>
      <c r="B368">
        <f t="shared" si="90"/>
        <v>448</v>
      </c>
    </row>
    <row r="369" spans="1:62" x14ac:dyDescent="0.2">
      <c r="A369">
        <v>1711.1</v>
      </c>
      <c r="B369">
        <f t="shared" si="90"/>
        <v>498</v>
      </c>
    </row>
    <row r="370" spans="1:62" x14ac:dyDescent="0.2">
      <c r="A370">
        <v>1711.1</v>
      </c>
      <c r="B370">
        <f t="shared" si="90"/>
        <v>548</v>
      </c>
    </row>
    <row r="371" spans="1:62" x14ac:dyDescent="0.2">
      <c r="A371">
        <v>1711.1</v>
      </c>
      <c r="B371">
        <f t="shared" si="90"/>
        <v>598</v>
      </c>
    </row>
    <row r="372" spans="1:62" x14ac:dyDescent="0.2">
      <c r="A372">
        <v>1711.1</v>
      </c>
      <c r="B372">
        <f t="shared" si="90"/>
        <v>648</v>
      </c>
    </row>
    <row r="373" spans="1:62" x14ac:dyDescent="0.2">
      <c r="A373">
        <v>1711.1</v>
      </c>
      <c r="B373">
        <f t="shared" si="90"/>
        <v>698</v>
      </c>
    </row>
    <row r="374" spans="1:62" x14ac:dyDescent="0.2">
      <c r="A374">
        <v>1711.1</v>
      </c>
      <c r="B374">
        <f t="shared" si="90"/>
        <v>748</v>
      </c>
    </row>
    <row r="375" spans="1:62" x14ac:dyDescent="0.2">
      <c r="A375">
        <v>1711.1</v>
      </c>
      <c r="B375">
        <f t="shared" si="90"/>
        <v>798</v>
      </c>
    </row>
    <row r="376" spans="1:62" x14ac:dyDescent="0.2">
      <c r="A376">
        <v>1711.1</v>
      </c>
      <c r="B376">
        <f t="shared" si="90"/>
        <v>848</v>
      </c>
    </row>
    <row r="377" spans="1:62" x14ac:dyDescent="0.2">
      <c r="A377">
        <v>1711.1</v>
      </c>
      <c r="B377">
        <f t="shared" si="90"/>
        <v>898</v>
      </c>
    </row>
    <row r="378" spans="1:62" x14ac:dyDescent="0.2">
      <c r="A378">
        <v>1711.1</v>
      </c>
      <c r="B378">
        <f t="shared" si="90"/>
        <v>948</v>
      </c>
    </row>
    <row r="379" spans="1:62" x14ac:dyDescent="0.2">
      <c r="A379" s="52" t="s">
        <v>137</v>
      </c>
    </row>
    <row r="380" spans="1:62" ht="18" x14ac:dyDescent="0.25">
      <c r="A380" s="1" t="s">
        <v>106</v>
      </c>
      <c r="B380" s="63" t="s">
        <v>82</v>
      </c>
      <c r="C380" s="63"/>
      <c r="D380" s="63"/>
      <c r="E380" s="63"/>
      <c r="F380" s="63"/>
      <c r="G380" s="63"/>
      <c r="H380" s="63"/>
      <c r="I380" s="63"/>
      <c r="J380" s="63"/>
      <c r="K380" s="63"/>
      <c r="L380" s="63"/>
      <c r="M380" s="63"/>
      <c r="N380" s="63"/>
      <c r="O380" s="63"/>
      <c r="P380" s="63"/>
      <c r="Q380" s="63"/>
      <c r="R380" s="63"/>
      <c r="S380" s="63"/>
      <c r="T380" s="63"/>
      <c r="V380" s="63" t="s">
        <v>98</v>
      </c>
      <c r="W380" s="63"/>
      <c r="X380" s="63"/>
      <c r="Y380" s="63"/>
      <c r="Z380" s="63"/>
      <c r="AA380" s="63"/>
      <c r="AB380" s="63"/>
      <c r="AC380" s="63"/>
      <c r="AD380" s="63"/>
      <c r="AE380" s="63"/>
      <c r="AF380" s="63"/>
      <c r="AG380" s="63"/>
      <c r="AH380" s="63"/>
      <c r="AI380" s="63"/>
      <c r="AJ380" s="63"/>
      <c r="AK380" s="63"/>
      <c r="AL380" s="63"/>
      <c r="AM380" s="63"/>
      <c r="AO380" s="63" t="s">
        <v>99</v>
      </c>
      <c r="AP380" s="63"/>
      <c r="AQ380" s="63"/>
      <c r="AR380" s="63"/>
      <c r="AS380" s="63"/>
      <c r="AT380" s="63"/>
      <c r="AU380" s="63"/>
      <c r="AV380" s="63"/>
      <c r="AW380" s="63"/>
      <c r="AX380" s="63"/>
      <c r="AY380" s="63"/>
      <c r="AZ380" s="63"/>
      <c r="BA380" s="63"/>
      <c r="BB380" s="63"/>
      <c r="BC380" s="63"/>
      <c r="BD380" s="63"/>
      <c r="BE380" s="63"/>
      <c r="BF380" s="63"/>
      <c r="BH380" s="63" t="s">
        <v>68</v>
      </c>
      <c r="BI380" s="63"/>
      <c r="BJ380" s="63"/>
    </row>
    <row r="381" spans="1:62" ht="19" thickBot="1" x14ac:dyDescent="0.25">
      <c r="A381" s="32" t="s">
        <v>96</v>
      </c>
      <c r="B381" s="32" t="s">
        <v>97</v>
      </c>
      <c r="C381" s="13" t="s">
        <v>0</v>
      </c>
      <c r="D381" s="13" t="s">
        <v>1</v>
      </c>
      <c r="E381" s="13" t="s">
        <v>2</v>
      </c>
      <c r="F381" s="13" t="s">
        <v>3</v>
      </c>
      <c r="G381" s="13" t="s">
        <v>4</v>
      </c>
      <c r="H381" s="13" t="s">
        <v>5</v>
      </c>
      <c r="I381" s="13" t="s">
        <v>6</v>
      </c>
      <c r="J381" s="13" t="s">
        <v>7</v>
      </c>
      <c r="K381" s="13" t="s">
        <v>8</v>
      </c>
      <c r="L381" s="13" t="s">
        <v>9</v>
      </c>
      <c r="M381" s="13" t="s">
        <v>10</v>
      </c>
      <c r="N381" s="13" t="s">
        <v>11</v>
      </c>
      <c r="O381" s="13" t="s">
        <v>12</v>
      </c>
      <c r="P381" s="13" t="s">
        <v>13</v>
      </c>
      <c r="Q381" s="13" t="s">
        <v>14</v>
      </c>
      <c r="R381" s="13" t="s">
        <v>15</v>
      </c>
      <c r="S381" s="13" t="s">
        <v>16</v>
      </c>
      <c r="T381" s="13" t="s">
        <v>17</v>
      </c>
      <c r="V381" s="13" t="s">
        <v>0</v>
      </c>
      <c r="W381" s="13" t="s">
        <v>1</v>
      </c>
      <c r="X381" s="13" t="s">
        <v>2</v>
      </c>
      <c r="Y381" s="13" t="s">
        <v>3</v>
      </c>
      <c r="Z381" s="13" t="s">
        <v>4</v>
      </c>
      <c r="AA381" s="13" t="s">
        <v>5</v>
      </c>
      <c r="AB381" s="13" t="s">
        <v>6</v>
      </c>
      <c r="AC381" s="13" t="s">
        <v>7</v>
      </c>
      <c r="AD381" s="13" t="s">
        <v>8</v>
      </c>
      <c r="AE381" s="13" t="s">
        <v>9</v>
      </c>
      <c r="AF381" s="13" t="s">
        <v>10</v>
      </c>
      <c r="AG381" s="13" t="s">
        <v>11</v>
      </c>
      <c r="AH381" s="13" t="s">
        <v>12</v>
      </c>
      <c r="AI381" s="13" t="s">
        <v>13</v>
      </c>
      <c r="AJ381" s="13" t="s">
        <v>14</v>
      </c>
      <c r="AK381" s="13" t="s">
        <v>15</v>
      </c>
      <c r="AL381" s="13" t="s">
        <v>16</v>
      </c>
      <c r="AM381" s="13" t="s">
        <v>17</v>
      </c>
      <c r="AO381" s="13" t="s">
        <v>0</v>
      </c>
      <c r="AP381" s="13" t="s">
        <v>1</v>
      </c>
      <c r="AQ381" s="13" t="s">
        <v>2</v>
      </c>
      <c r="AR381" s="13" t="s">
        <v>3</v>
      </c>
      <c r="AS381" s="13" t="s">
        <v>4</v>
      </c>
      <c r="AT381" s="13" t="s">
        <v>5</v>
      </c>
      <c r="AU381" s="13" t="s">
        <v>6</v>
      </c>
      <c r="AV381" s="13" t="s">
        <v>7</v>
      </c>
      <c r="AW381" s="13" t="s">
        <v>8</v>
      </c>
      <c r="AX381" s="13" t="s">
        <v>9</v>
      </c>
      <c r="AY381" s="13" t="s">
        <v>10</v>
      </c>
      <c r="AZ381" s="13" t="s">
        <v>11</v>
      </c>
      <c r="BA381" s="13" t="s">
        <v>12</v>
      </c>
      <c r="BB381" s="13" t="s">
        <v>13</v>
      </c>
      <c r="BC381" s="13" t="s">
        <v>14</v>
      </c>
      <c r="BD381" s="13" t="s">
        <v>15</v>
      </c>
      <c r="BE381" s="13" t="s">
        <v>16</v>
      </c>
      <c r="BF381" s="13" t="s">
        <v>17</v>
      </c>
      <c r="BH381" s="35" t="s">
        <v>96</v>
      </c>
      <c r="BI381" s="35" t="s">
        <v>97</v>
      </c>
      <c r="BJ381" s="35" t="s">
        <v>76</v>
      </c>
    </row>
    <row r="382" spans="1:62" x14ac:dyDescent="0.2">
      <c r="A382">
        <v>0.1</v>
      </c>
      <c r="B382">
        <v>298</v>
      </c>
      <c r="BH382">
        <v>0.1</v>
      </c>
      <c r="BI382">
        <v>298</v>
      </c>
    </row>
    <row r="383" spans="1:62" x14ac:dyDescent="0.2">
      <c r="A383">
        <v>0.1</v>
      </c>
      <c r="B383">
        <f t="shared" ref="B383:B395" si="91">B382+50</f>
        <v>348</v>
      </c>
      <c r="BH383">
        <v>0.1</v>
      </c>
      <c r="BI383">
        <f t="shared" ref="BI383:BI395" si="92">BI382+50</f>
        <v>348</v>
      </c>
    </row>
    <row r="384" spans="1:62" x14ac:dyDescent="0.2">
      <c r="A384">
        <v>0.1</v>
      </c>
      <c r="B384">
        <f t="shared" si="91"/>
        <v>398</v>
      </c>
      <c r="BH384">
        <v>0.1</v>
      </c>
      <c r="BI384">
        <f t="shared" si="92"/>
        <v>398</v>
      </c>
    </row>
    <row r="385" spans="1:61" x14ac:dyDescent="0.2">
      <c r="A385">
        <v>0.1</v>
      </c>
      <c r="B385">
        <f t="shared" si="91"/>
        <v>448</v>
      </c>
      <c r="BH385">
        <v>0.1</v>
      </c>
      <c r="BI385">
        <f t="shared" si="92"/>
        <v>448</v>
      </c>
    </row>
    <row r="386" spans="1:61" x14ac:dyDescent="0.2">
      <c r="A386">
        <v>0.1</v>
      </c>
      <c r="B386">
        <f t="shared" si="91"/>
        <v>498</v>
      </c>
      <c r="BH386">
        <v>0.1</v>
      </c>
      <c r="BI386">
        <f t="shared" si="92"/>
        <v>498</v>
      </c>
    </row>
    <row r="387" spans="1:61" x14ac:dyDescent="0.2">
      <c r="A387">
        <v>0.1</v>
      </c>
      <c r="B387">
        <f t="shared" si="91"/>
        <v>548</v>
      </c>
      <c r="BH387">
        <v>0.1</v>
      </c>
      <c r="BI387">
        <f t="shared" si="92"/>
        <v>548</v>
      </c>
    </row>
    <row r="388" spans="1:61" x14ac:dyDescent="0.2">
      <c r="A388">
        <v>0.1</v>
      </c>
      <c r="B388">
        <f t="shared" si="91"/>
        <v>598</v>
      </c>
      <c r="BH388">
        <v>0.1</v>
      </c>
      <c r="BI388">
        <f t="shared" si="92"/>
        <v>598</v>
      </c>
    </row>
    <row r="389" spans="1:61" x14ac:dyDescent="0.2">
      <c r="A389">
        <v>0.1</v>
      </c>
      <c r="B389">
        <f t="shared" si="91"/>
        <v>648</v>
      </c>
      <c r="BH389">
        <v>0.1</v>
      </c>
      <c r="BI389">
        <f t="shared" si="92"/>
        <v>648</v>
      </c>
    </row>
    <row r="390" spans="1:61" x14ac:dyDescent="0.2">
      <c r="A390">
        <v>0.1</v>
      </c>
      <c r="B390">
        <f t="shared" si="91"/>
        <v>698</v>
      </c>
      <c r="BH390">
        <v>0.1</v>
      </c>
      <c r="BI390">
        <f t="shared" si="92"/>
        <v>698</v>
      </c>
    </row>
    <row r="391" spans="1:61" x14ac:dyDescent="0.2">
      <c r="A391">
        <v>0.1</v>
      </c>
      <c r="B391">
        <f t="shared" si="91"/>
        <v>748</v>
      </c>
      <c r="BH391">
        <v>0.1</v>
      </c>
      <c r="BI391">
        <f t="shared" si="92"/>
        <v>748</v>
      </c>
    </row>
    <row r="392" spans="1:61" x14ac:dyDescent="0.2">
      <c r="A392">
        <v>0.1</v>
      </c>
      <c r="B392">
        <f t="shared" si="91"/>
        <v>798</v>
      </c>
      <c r="BH392">
        <v>0.1</v>
      </c>
      <c r="BI392">
        <f t="shared" si="92"/>
        <v>798</v>
      </c>
    </row>
    <row r="393" spans="1:61" x14ac:dyDescent="0.2">
      <c r="A393">
        <v>0.1</v>
      </c>
      <c r="B393">
        <f t="shared" si="91"/>
        <v>848</v>
      </c>
      <c r="BH393">
        <v>0.1</v>
      </c>
      <c r="BI393">
        <f t="shared" si="92"/>
        <v>848</v>
      </c>
    </row>
    <row r="394" spans="1:61" x14ac:dyDescent="0.2">
      <c r="A394">
        <v>0.1</v>
      </c>
      <c r="B394">
        <f t="shared" si="91"/>
        <v>898</v>
      </c>
      <c r="BH394">
        <v>0.1</v>
      </c>
      <c r="BI394">
        <f t="shared" si="92"/>
        <v>898</v>
      </c>
    </row>
    <row r="395" spans="1:61" x14ac:dyDescent="0.2">
      <c r="A395">
        <v>0.1</v>
      </c>
      <c r="B395">
        <f t="shared" si="91"/>
        <v>948</v>
      </c>
      <c r="BH395">
        <v>0.1</v>
      </c>
      <c r="BI395">
        <f t="shared" si="92"/>
        <v>948</v>
      </c>
    </row>
    <row r="396" spans="1:61" x14ac:dyDescent="0.2">
      <c r="A396">
        <v>570.1</v>
      </c>
      <c r="B396">
        <v>298</v>
      </c>
      <c r="BH396">
        <v>570.1</v>
      </c>
      <c r="BI396">
        <v>298</v>
      </c>
    </row>
    <row r="397" spans="1:61" x14ac:dyDescent="0.2">
      <c r="A397">
        <v>570.1</v>
      </c>
      <c r="B397">
        <f t="shared" ref="B397:B409" si="93">B396+50</f>
        <v>348</v>
      </c>
      <c r="BH397">
        <v>570.1</v>
      </c>
      <c r="BI397">
        <f t="shared" ref="BI397:BI409" si="94">BI396+50</f>
        <v>348</v>
      </c>
    </row>
    <row r="398" spans="1:61" x14ac:dyDescent="0.2">
      <c r="A398">
        <v>570.1</v>
      </c>
      <c r="B398">
        <f t="shared" si="93"/>
        <v>398</v>
      </c>
      <c r="BH398">
        <v>570.1</v>
      </c>
      <c r="BI398">
        <f t="shared" si="94"/>
        <v>398</v>
      </c>
    </row>
    <row r="399" spans="1:61" x14ac:dyDescent="0.2">
      <c r="A399">
        <v>570.1</v>
      </c>
      <c r="B399">
        <f t="shared" si="93"/>
        <v>448</v>
      </c>
      <c r="BH399">
        <v>570.1</v>
      </c>
      <c r="BI399">
        <f t="shared" si="94"/>
        <v>448</v>
      </c>
    </row>
    <row r="400" spans="1:61" x14ac:dyDescent="0.2">
      <c r="A400">
        <v>570.1</v>
      </c>
      <c r="B400">
        <f t="shared" si="93"/>
        <v>498</v>
      </c>
      <c r="BH400">
        <v>570.1</v>
      </c>
      <c r="BI400">
        <f t="shared" si="94"/>
        <v>498</v>
      </c>
    </row>
    <row r="401" spans="1:61" x14ac:dyDescent="0.2">
      <c r="A401">
        <v>570.1</v>
      </c>
      <c r="B401">
        <f t="shared" si="93"/>
        <v>548</v>
      </c>
      <c r="BH401">
        <v>570.1</v>
      </c>
      <c r="BI401">
        <f t="shared" si="94"/>
        <v>548</v>
      </c>
    </row>
    <row r="402" spans="1:61" x14ac:dyDescent="0.2">
      <c r="A402">
        <v>570.1</v>
      </c>
      <c r="B402">
        <f t="shared" si="93"/>
        <v>598</v>
      </c>
      <c r="BH402">
        <v>570.1</v>
      </c>
      <c r="BI402">
        <f t="shared" si="94"/>
        <v>598</v>
      </c>
    </row>
    <row r="403" spans="1:61" x14ac:dyDescent="0.2">
      <c r="A403">
        <v>570.1</v>
      </c>
      <c r="B403">
        <f t="shared" si="93"/>
        <v>648</v>
      </c>
      <c r="BH403">
        <v>570.1</v>
      </c>
      <c r="BI403">
        <f t="shared" si="94"/>
        <v>648</v>
      </c>
    </row>
    <row r="404" spans="1:61" x14ac:dyDescent="0.2">
      <c r="A404">
        <v>570.1</v>
      </c>
      <c r="B404">
        <f t="shared" si="93"/>
        <v>698</v>
      </c>
      <c r="BH404">
        <v>570.1</v>
      </c>
      <c r="BI404">
        <f t="shared" si="94"/>
        <v>698</v>
      </c>
    </row>
    <row r="405" spans="1:61" x14ac:dyDescent="0.2">
      <c r="A405">
        <v>570.1</v>
      </c>
      <c r="B405">
        <f t="shared" si="93"/>
        <v>748</v>
      </c>
      <c r="BH405">
        <v>570.1</v>
      </c>
      <c r="BI405">
        <f t="shared" si="94"/>
        <v>748</v>
      </c>
    </row>
    <row r="406" spans="1:61" x14ac:dyDescent="0.2">
      <c r="A406">
        <v>570.1</v>
      </c>
      <c r="B406">
        <f t="shared" si="93"/>
        <v>798</v>
      </c>
      <c r="BH406">
        <v>570.1</v>
      </c>
      <c r="BI406">
        <f t="shared" si="94"/>
        <v>798</v>
      </c>
    </row>
    <row r="407" spans="1:61" x14ac:dyDescent="0.2">
      <c r="A407">
        <v>570.1</v>
      </c>
      <c r="B407">
        <f t="shared" si="93"/>
        <v>848</v>
      </c>
      <c r="BH407">
        <v>570.1</v>
      </c>
      <c r="BI407">
        <f t="shared" si="94"/>
        <v>848</v>
      </c>
    </row>
    <row r="408" spans="1:61" x14ac:dyDescent="0.2">
      <c r="A408">
        <v>570.1</v>
      </c>
      <c r="B408">
        <f t="shared" si="93"/>
        <v>898</v>
      </c>
      <c r="BH408">
        <v>570.1</v>
      </c>
      <c r="BI408">
        <f t="shared" si="94"/>
        <v>898</v>
      </c>
    </row>
    <row r="409" spans="1:61" x14ac:dyDescent="0.2">
      <c r="A409">
        <v>570.1</v>
      </c>
      <c r="B409">
        <f t="shared" si="93"/>
        <v>948</v>
      </c>
      <c r="BH409">
        <v>570.1</v>
      </c>
      <c r="BI409">
        <f t="shared" si="94"/>
        <v>948</v>
      </c>
    </row>
    <row r="410" spans="1:61" x14ac:dyDescent="0.2">
      <c r="A410">
        <v>1140.0999999999999</v>
      </c>
      <c r="B410">
        <v>298</v>
      </c>
      <c r="BH410">
        <v>1140.0999999999999</v>
      </c>
      <c r="BI410">
        <v>293</v>
      </c>
    </row>
    <row r="411" spans="1:61" x14ac:dyDescent="0.2">
      <c r="A411">
        <v>1140.0999999999999</v>
      </c>
      <c r="B411">
        <f t="shared" ref="B411:B423" si="95">B410+50</f>
        <v>348</v>
      </c>
      <c r="BH411">
        <v>1140.0999999999999</v>
      </c>
      <c r="BI411">
        <f t="shared" ref="BI411:BI423" si="96">BI410+50</f>
        <v>343</v>
      </c>
    </row>
    <row r="412" spans="1:61" x14ac:dyDescent="0.2">
      <c r="A412">
        <v>1140.0999999999999</v>
      </c>
      <c r="B412">
        <f t="shared" si="95"/>
        <v>398</v>
      </c>
      <c r="BH412">
        <v>1140.0999999999999</v>
      </c>
      <c r="BI412">
        <f t="shared" si="96"/>
        <v>393</v>
      </c>
    </row>
    <row r="413" spans="1:61" x14ac:dyDescent="0.2">
      <c r="A413">
        <v>1140.0999999999999</v>
      </c>
      <c r="B413">
        <f t="shared" si="95"/>
        <v>448</v>
      </c>
      <c r="BH413">
        <v>1140.0999999999999</v>
      </c>
      <c r="BI413">
        <f t="shared" si="96"/>
        <v>443</v>
      </c>
    </row>
    <row r="414" spans="1:61" x14ac:dyDescent="0.2">
      <c r="A414">
        <v>1140.0999999999999</v>
      </c>
      <c r="B414">
        <f t="shared" si="95"/>
        <v>498</v>
      </c>
      <c r="BH414">
        <v>1140.0999999999999</v>
      </c>
      <c r="BI414">
        <f t="shared" si="96"/>
        <v>493</v>
      </c>
    </row>
    <row r="415" spans="1:61" x14ac:dyDescent="0.2">
      <c r="A415">
        <v>1140.0999999999999</v>
      </c>
      <c r="B415">
        <f t="shared" si="95"/>
        <v>548</v>
      </c>
      <c r="BH415">
        <v>1140.0999999999999</v>
      </c>
      <c r="BI415">
        <f t="shared" si="96"/>
        <v>543</v>
      </c>
    </row>
    <row r="416" spans="1:61" x14ac:dyDescent="0.2">
      <c r="A416">
        <v>1140.0999999999999</v>
      </c>
      <c r="B416">
        <f t="shared" si="95"/>
        <v>598</v>
      </c>
      <c r="BH416">
        <v>1140.0999999999999</v>
      </c>
      <c r="BI416">
        <f t="shared" si="96"/>
        <v>593</v>
      </c>
    </row>
    <row r="417" spans="1:61" x14ac:dyDescent="0.2">
      <c r="A417">
        <v>1140.0999999999999</v>
      </c>
      <c r="B417">
        <f t="shared" si="95"/>
        <v>648</v>
      </c>
      <c r="BH417">
        <v>1140.0999999999999</v>
      </c>
      <c r="BI417">
        <f t="shared" si="96"/>
        <v>643</v>
      </c>
    </row>
    <row r="418" spans="1:61" x14ac:dyDescent="0.2">
      <c r="A418">
        <v>1140.0999999999999</v>
      </c>
      <c r="B418">
        <f t="shared" si="95"/>
        <v>698</v>
      </c>
      <c r="BH418">
        <v>1140.0999999999999</v>
      </c>
      <c r="BI418">
        <f t="shared" si="96"/>
        <v>693</v>
      </c>
    </row>
    <row r="419" spans="1:61" x14ac:dyDescent="0.2">
      <c r="A419">
        <v>1140.0999999999999</v>
      </c>
      <c r="B419">
        <f t="shared" si="95"/>
        <v>748</v>
      </c>
      <c r="BH419">
        <v>1140.0999999999999</v>
      </c>
      <c r="BI419">
        <f t="shared" si="96"/>
        <v>743</v>
      </c>
    </row>
    <row r="420" spans="1:61" x14ac:dyDescent="0.2">
      <c r="A420">
        <v>1140.0999999999999</v>
      </c>
      <c r="B420">
        <f t="shared" si="95"/>
        <v>798</v>
      </c>
      <c r="BH420">
        <v>1140.0999999999999</v>
      </c>
      <c r="BI420">
        <f t="shared" si="96"/>
        <v>793</v>
      </c>
    </row>
    <row r="421" spans="1:61" x14ac:dyDescent="0.2">
      <c r="A421">
        <v>1140.0999999999999</v>
      </c>
      <c r="B421">
        <f t="shared" si="95"/>
        <v>848</v>
      </c>
      <c r="BH421">
        <v>1140.0999999999999</v>
      </c>
      <c r="BI421">
        <f t="shared" si="96"/>
        <v>843</v>
      </c>
    </row>
    <row r="422" spans="1:61" x14ac:dyDescent="0.2">
      <c r="A422">
        <v>1140.0999999999999</v>
      </c>
      <c r="B422">
        <f t="shared" si="95"/>
        <v>898</v>
      </c>
      <c r="BH422">
        <v>1140.0999999999999</v>
      </c>
      <c r="BI422">
        <f t="shared" si="96"/>
        <v>893</v>
      </c>
    </row>
    <row r="423" spans="1:61" x14ac:dyDescent="0.2">
      <c r="A423">
        <v>1140.0999999999999</v>
      </c>
      <c r="B423">
        <f t="shared" si="95"/>
        <v>948</v>
      </c>
      <c r="BH423">
        <v>1140.0999999999999</v>
      </c>
      <c r="BI423">
        <f t="shared" si="96"/>
        <v>943</v>
      </c>
    </row>
    <row r="424" spans="1:61" x14ac:dyDescent="0.2">
      <c r="A424">
        <v>1711.1</v>
      </c>
      <c r="B424">
        <v>298</v>
      </c>
      <c r="BH424">
        <v>1711.1</v>
      </c>
      <c r="BI424">
        <v>293</v>
      </c>
    </row>
    <row r="425" spans="1:61" x14ac:dyDescent="0.2">
      <c r="A425">
        <v>1711.1</v>
      </c>
      <c r="B425">
        <f t="shared" ref="B425:B437" si="97">B424+50</f>
        <v>348</v>
      </c>
      <c r="BH425">
        <v>1711.1</v>
      </c>
      <c r="BI425">
        <f t="shared" ref="BI425:BI437" si="98">BI424+50</f>
        <v>343</v>
      </c>
    </row>
    <row r="426" spans="1:61" x14ac:dyDescent="0.2">
      <c r="A426">
        <v>1711.1</v>
      </c>
      <c r="B426">
        <f t="shared" si="97"/>
        <v>398</v>
      </c>
      <c r="BH426">
        <v>1711.1</v>
      </c>
      <c r="BI426">
        <f t="shared" si="98"/>
        <v>393</v>
      </c>
    </row>
    <row r="427" spans="1:61" x14ac:dyDescent="0.2">
      <c r="A427">
        <v>1711.1</v>
      </c>
      <c r="B427">
        <f t="shared" si="97"/>
        <v>448</v>
      </c>
      <c r="BH427">
        <v>1711.1</v>
      </c>
      <c r="BI427">
        <f t="shared" si="98"/>
        <v>443</v>
      </c>
    </row>
    <row r="428" spans="1:61" x14ac:dyDescent="0.2">
      <c r="A428">
        <v>1711.1</v>
      </c>
      <c r="B428">
        <f t="shared" si="97"/>
        <v>498</v>
      </c>
      <c r="BH428">
        <v>1711.1</v>
      </c>
      <c r="BI428">
        <f t="shared" si="98"/>
        <v>493</v>
      </c>
    </row>
    <row r="429" spans="1:61" x14ac:dyDescent="0.2">
      <c r="A429">
        <v>1711.1</v>
      </c>
      <c r="B429">
        <f t="shared" si="97"/>
        <v>548</v>
      </c>
      <c r="BH429">
        <v>1711.1</v>
      </c>
      <c r="BI429">
        <f t="shared" si="98"/>
        <v>543</v>
      </c>
    </row>
    <row r="430" spans="1:61" x14ac:dyDescent="0.2">
      <c r="A430">
        <v>1711.1</v>
      </c>
      <c r="B430">
        <f t="shared" si="97"/>
        <v>598</v>
      </c>
      <c r="BH430">
        <v>1711.1</v>
      </c>
      <c r="BI430">
        <f t="shared" si="98"/>
        <v>593</v>
      </c>
    </row>
    <row r="431" spans="1:61" x14ac:dyDescent="0.2">
      <c r="A431">
        <v>1711.1</v>
      </c>
      <c r="B431">
        <f t="shared" si="97"/>
        <v>648</v>
      </c>
      <c r="BH431">
        <v>1711.1</v>
      </c>
      <c r="BI431">
        <f t="shared" si="98"/>
        <v>643</v>
      </c>
    </row>
    <row r="432" spans="1:61" x14ac:dyDescent="0.2">
      <c r="A432">
        <v>1711.1</v>
      </c>
      <c r="B432">
        <f t="shared" si="97"/>
        <v>698</v>
      </c>
      <c r="BH432">
        <v>1711.1</v>
      </c>
      <c r="BI432">
        <f t="shared" si="98"/>
        <v>693</v>
      </c>
    </row>
    <row r="433" spans="1:61" x14ac:dyDescent="0.2">
      <c r="A433">
        <v>1711.1</v>
      </c>
      <c r="B433">
        <f t="shared" si="97"/>
        <v>748</v>
      </c>
      <c r="BH433">
        <v>1711.1</v>
      </c>
      <c r="BI433">
        <f t="shared" si="98"/>
        <v>743</v>
      </c>
    </row>
    <row r="434" spans="1:61" x14ac:dyDescent="0.2">
      <c r="A434">
        <v>1711.1</v>
      </c>
      <c r="B434">
        <f t="shared" si="97"/>
        <v>798</v>
      </c>
      <c r="BH434">
        <v>1711.1</v>
      </c>
      <c r="BI434">
        <f t="shared" si="98"/>
        <v>793</v>
      </c>
    </row>
    <row r="435" spans="1:61" x14ac:dyDescent="0.2">
      <c r="A435">
        <v>1711.1</v>
      </c>
      <c r="B435">
        <f t="shared" si="97"/>
        <v>848</v>
      </c>
      <c r="BH435">
        <v>1711.1</v>
      </c>
      <c r="BI435">
        <f t="shared" si="98"/>
        <v>843</v>
      </c>
    </row>
    <row r="436" spans="1:61" x14ac:dyDescent="0.2">
      <c r="A436">
        <v>1711.1</v>
      </c>
      <c r="B436">
        <f t="shared" si="97"/>
        <v>898</v>
      </c>
      <c r="BH436">
        <v>1711.1</v>
      </c>
      <c r="BI436">
        <f t="shared" si="98"/>
        <v>893</v>
      </c>
    </row>
    <row r="437" spans="1:61" x14ac:dyDescent="0.2">
      <c r="A437">
        <v>1711.1</v>
      </c>
      <c r="B437">
        <f t="shared" si="97"/>
        <v>948</v>
      </c>
      <c r="BH437">
        <v>1711.1</v>
      </c>
      <c r="BI437">
        <f t="shared" si="98"/>
        <v>943</v>
      </c>
    </row>
    <row r="439" spans="1:61" ht="18" x14ac:dyDescent="0.2">
      <c r="A439" s="1" t="s">
        <v>114</v>
      </c>
      <c r="B439" s="63" t="s">
        <v>81</v>
      </c>
      <c r="C439" s="63"/>
      <c r="D439" s="63"/>
      <c r="E439" s="63"/>
      <c r="F439" s="63"/>
      <c r="G439" s="63"/>
      <c r="H439" s="63"/>
      <c r="I439" s="63"/>
      <c r="J439" s="63"/>
      <c r="K439" s="63"/>
      <c r="L439" s="63"/>
      <c r="M439" s="63"/>
      <c r="N439" s="63"/>
      <c r="O439" s="63"/>
      <c r="P439" s="63"/>
      <c r="Q439" s="63"/>
      <c r="R439" s="63"/>
      <c r="S439" s="63"/>
      <c r="T439" s="63"/>
      <c r="V439" s="63" t="s">
        <v>67</v>
      </c>
      <c r="W439" s="63"/>
      <c r="X439" s="63"/>
      <c r="Y439" s="63"/>
      <c r="Z439" s="63"/>
      <c r="AA439" s="63"/>
      <c r="AB439" s="63"/>
      <c r="AC439" s="63"/>
      <c r="AD439" s="63"/>
      <c r="AE439" s="63"/>
      <c r="AF439" s="63"/>
      <c r="AG439" s="63"/>
      <c r="AH439" s="63"/>
      <c r="AI439" s="63"/>
      <c r="AJ439" s="63"/>
      <c r="AK439" s="63"/>
      <c r="AL439" s="63"/>
      <c r="AM439" s="63"/>
      <c r="AO439" s="63" t="s">
        <v>68</v>
      </c>
      <c r="AP439" s="63"/>
      <c r="AQ439" s="63"/>
    </row>
    <row r="440" spans="1:61" ht="17" thickBot="1" x14ac:dyDescent="0.25">
      <c r="A440" s="32" t="s">
        <v>96</v>
      </c>
      <c r="B440" s="32" t="s">
        <v>97</v>
      </c>
      <c r="C440" s="13" t="s">
        <v>0</v>
      </c>
      <c r="D440" s="13" t="s">
        <v>1</v>
      </c>
      <c r="E440" s="13" t="s">
        <v>2</v>
      </c>
      <c r="F440" s="13" t="s">
        <v>3</v>
      </c>
      <c r="G440" s="13" t="s">
        <v>4</v>
      </c>
      <c r="H440" s="13" t="s">
        <v>5</v>
      </c>
      <c r="I440" s="13" t="s">
        <v>6</v>
      </c>
      <c r="J440" s="13" t="s">
        <v>7</v>
      </c>
      <c r="K440" s="13" t="s">
        <v>8</v>
      </c>
      <c r="L440" s="13" t="s">
        <v>9</v>
      </c>
      <c r="M440" s="13" t="s">
        <v>10</v>
      </c>
      <c r="N440" s="13" t="s">
        <v>11</v>
      </c>
      <c r="O440" s="13" t="s">
        <v>12</v>
      </c>
      <c r="P440" s="13" t="s">
        <v>13</v>
      </c>
      <c r="Q440" s="13" t="s">
        <v>14</v>
      </c>
      <c r="R440" s="13" t="s">
        <v>15</v>
      </c>
      <c r="S440" s="13" t="s">
        <v>16</v>
      </c>
      <c r="T440" s="13" t="s">
        <v>17</v>
      </c>
      <c r="V440" s="13" t="s">
        <v>0</v>
      </c>
      <c r="W440" s="13" t="s">
        <v>1</v>
      </c>
      <c r="X440" s="13" t="s">
        <v>2</v>
      </c>
      <c r="Y440" s="13" t="s">
        <v>3</v>
      </c>
      <c r="Z440" s="13" t="s">
        <v>4</v>
      </c>
      <c r="AA440" s="13" t="s">
        <v>5</v>
      </c>
      <c r="AB440" s="13" t="s">
        <v>6</v>
      </c>
      <c r="AC440" s="13" t="s">
        <v>7</v>
      </c>
      <c r="AD440" s="13" t="s">
        <v>8</v>
      </c>
      <c r="AE440" s="13" t="s">
        <v>9</v>
      </c>
      <c r="AF440" s="13" t="s">
        <v>10</v>
      </c>
      <c r="AG440" s="13" t="s">
        <v>11</v>
      </c>
      <c r="AH440" s="13" t="s">
        <v>12</v>
      </c>
      <c r="AI440" s="13" t="s">
        <v>13</v>
      </c>
      <c r="AJ440" s="13" t="s">
        <v>14</v>
      </c>
      <c r="AK440" s="13" t="s">
        <v>15</v>
      </c>
      <c r="AL440" s="13" t="s">
        <v>16</v>
      </c>
      <c r="AM440" s="13" t="s">
        <v>17</v>
      </c>
      <c r="AO440" s="32" t="s">
        <v>64</v>
      </c>
      <c r="AP440" s="32" t="s">
        <v>65</v>
      </c>
      <c r="AQ440" s="38" t="s">
        <v>71</v>
      </c>
    </row>
    <row r="441" spans="1:61" x14ac:dyDescent="0.2">
      <c r="A441">
        <v>0.1</v>
      </c>
      <c r="B441">
        <v>298</v>
      </c>
      <c r="V441" t="e">
        <f>C441*C27</f>
        <v>#DIV/0!</v>
      </c>
      <c r="W441">
        <f t="shared" ref="W441:AM441" si="99">D441*D27</f>
        <v>0</v>
      </c>
      <c r="X441" t="e">
        <f t="shared" si="99"/>
        <v>#DIV/0!</v>
      </c>
      <c r="Y441" t="e">
        <f t="shared" si="99"/>
        <v>#DIV/0!</v>
      </c>
      <c r="Z441" t="e">
        <f t="shared" si="99"/>
        <v>#DIV/0!</v>
      </c>
      <c r="AA441">
        <f t="shared" si="99"/>
        <v>0</v>
      </c>
      <c r="AB441" t="e">
        <f t="shared" si="99"/>
        <v>#DIV/0!</v>
      </c>
      <c r="AC441">
        <f t="shared" si="99"/>
        <v>0</v>
      </c>
      <c r="AD441" t="e">
        <f t="shared" si="99"/>
        <v>#DIV/0!</v>
      </c>
      <c r="AE441">
        <f t="shared" si="99"/>
        <v>0</v>
      </c>
      <c r="AF441">
        <f t="shared" si="99"/>
        <v>0</v>
      </c>
      <c r="AG441">
        <f t="shared" si="99"/>
        <v>0</v>
      </c>
      <c r="AH441">
        <f t="shared" si="99"/>
        <v>0</v>
      </c>
      <c r="AI441">
        <f t="shared" si="99"/>
        <v>0</v>
      </c>
      <c r="AJ441">
        <f t="shared" si="99"/>
        <v>0</v>
      </c>
      <c r="AK441">
        <f t="shared" si="99"/>
        <v>0</v>
      </c>
      <c r="AL441">
        <f t="shared" si="99"/>
        <v>0</v>
      </c>
      <c r="AM441">
        <f t="shared" si="99"/>
        <v>0</v>
      </c>
      <c r="AO441">
        <v>0.1</v>
      </c>
      <c r="AP441">
        <v>298</v>
      </c>
      <c r="AQ441" t="e">
        <f t="shared" ref="AQ441:AQ472" si="100">SUM(V441:AM441)/$U27</f>
        <v>#DIV/0!</v>
      </c>
    </row>
    <row r="442" spans="1:61" x14ac:dyDescent="0.2">
      <c r="A442">
        <v>0.1</v>
      </c>
      <c r="B442">
        <f t="shared" ref="B442:B454" si="101">B441+50</f>
        <v>348</v>
      </c>
      <c r="V442" t="e">
        <f t="shared" ref="V442:AM442" si="102">C442*C28</f>
        <v>#DIV/0!</v>
      </c>
      <c r="W442">
        <f t="shared" si="102"/>
        <v>0</v>
      </c>
      <c r="X442" t="e">
        <f t="shared" si="102"/>
        <v>#DIV/0!</v>
      </c>
      <c r="Y442" t="e">
        <f t="shared" si="102"/>
        <v>#DIV/0!</v>
      </c>
      <c r="Z442" t="e">
        <f t="shared" si="102"/>
        <v>#DIV/0!</v>
      </c>
      <c r="AA442">
        <f t="shared" si="102"/>
        <v>0</v>
      </c>
      <c r="AB442" t="e">
        <f t="shared" si="102"/>
        <v>#DIV/0!</v>
      </c>
      <c r="AC442">
        <f t="shared" si="102"/>
        <v>0</v>
      </c>
      <c r="AD442" t="e">
        <f t="shared" si="102"/>
        <v>#DIV/0!</v>
      </c>
      <c r="AE442">
        <f t="shared" si="102"/>
        <v>0</v>
      </c>
      <c r="AF442">
        <f t="shared" si="102"/>
        <v>0</v>
      </c>
      <c r="AG442">
        <f t="shared" si="102"/>
        <v>0</v>
      </c>
      <c r="AH442">
        <f t="shared" si="102"/>
        <v>0</v>
      </c>
      <c r="AI442">
        <f t="shared" si="102"/>
        <v>0</v>
      </c>
      <c r="AJ442">
        <f t="shared" si="102"/>
        <v>0</v>
      </c>
      <c r="AK442">
        <f t="shared" si="102"/>
        <v>0</v>
      </c>
      <c r="AL442">
        <f t="shared" si="102"/>
        <v>0</v>
      </c>
      <c r="AM442">
        <f t="shared" si="102"/>
        <v>0</v>
      </c>
      <c r="AO442">
        <v>0.1</v>
      </c>
      <c r="AP442">
        <f t="shared" ref="AP442:AP454" si="103">AP441+50</f>
        <v>348</v>
      </c>
      <c r="AQ442" t="e">
        <f t="shared" si="100"/>
        <v>#DIV/0!</v>
      </c>
    </row>
    <row r="443" spans="1:61" x14ac:dyDescent="0.2">
      <c r="A443">
        <v>0.1</v>
      </c>
      <c r="B443">
        <f t="shared" si="101"/>
        <v>398</v>
      </c>
      <c r="V443" t="e">
        <f t="shared" ref="V443:AM443" si="104">C443*C29</f>
        <v>#DIV/0!</v>
      </c>
      <c r="W443">
        <f t="shared" si="104"/>
        <v>0</v>
      </c>
      <c r="X443" t="e">
        <f t="shared" si="104"/>
        <v>#DIV/0!</v>
      </c>
      <c r="Y443" t="e">
        <f t="shared" si="104"/>
        <v>#DIV/0!</v>
      </c>
      <c r="Z443" t="e">
        <f t="shared" si="104"/>
        <v>#DIV/0!</v>
      </c>
      <c r="AA443">
        <f t="shared" si="104"/>
        <v>0</v>
      </c>
      <c r="AB443" t="e">
        <f t="shared" si="104"/>
        <v>#DIV/0!</v>
      </c>
      <c r="AC443">
        <f t="shared" si="104"/>
        <v>0</v>
      </c>
      <c r="AD443" t="e">
        <f t="shared" si="104"/>
        <v>#DIV/0!</v>
      </c>
      <c r="AE443">
        <f t="shared" si="104"/>
        <v>0</v>
      </c>
      <c r="AF443">
        <f t="shared" si="104"/>
        <v>0</v>
      </c>
      <c r="AG443">
        <f t="shared" si="104"/>
        <v>0</v>
      </c>
      <c r="AH443">
        <f t="shared" si="104"/>
        <v>0</v>
      </c>
      <c r="AI443">
        <f t="shared" si="104"/>
        <v>0</v>
      </c>
      <c r="AJ443">
        <f t="shared" si="104"/>
        <v>0</v>
      </c>
      <c r="AK443">
        <f t="shared" si="104"/>
        <v>0</v>
      </c>
      <c r="AL443">
        <f t="shared" si="104"/>
        <v>0</v>
      </c>
      <c r="AM443">
        <f t="shared" si="104"/>
        <v>0</v>
      </c>
      <c r="AO443">
        <v>0.1</v>
      </c>
      <c r="AP443">
        <f t="shared" si="103"/>
        <v>398</v>
      </c>
      <c r="AQ443" t="e">
        <f t="shared" si="100"/>
        <v>#DIV/0!</v>
      </c>
    </row>
    <row r="444" spans="1:61" x14ac:dyDescent="0.2">
      <c r="A444">
        <v>0.1</v>
      </c>
      <c r="B444">
        <f t="shared" si="101"/>
        <v>448</v>
      </c>
      <c r="V444" t="e">
        <f t="shared" ref="V444:AM444" si="105">C444*C30</f>
        <v>#DIV/0!</v>
      </c>
      <c r="W444">
        <f t="shared" si="105"/>
        <v>0</v>
      </c>
      <c r="X444" t="e">
        <f t="shared" si="105"/>
        <v>#DIV/0!</v>
      </c>
      <c r="Y444" t="e">
        <f t="shared" si="105"/>
        <v>#DIV/0!</v>
      </c>
      <c r="Z444" t="e">
        <f t="shared" si="105"/>
        <v>#DIV/0!</v>
      </c>
      <c r="AA444">
        <f t="shared" si="105"/>
        <v>0</v>
      </c>
      <c r="AB444" t="e">
        <f t="shared" si="105"/>
        <v>#DIV/0!</v>
      </c>
      <c r="AC444">
        <f t="shared" si="105"/>
        <v>0</v>
      </c>
      <c r="AD444" t="e">
        <f t="shared" si="105"/>
        <v>#DIV/0!</v>
      </c>
      <c r="AE444">
        <f t="shared" si="105"/>
        <v>0</v>
      </c>
      <c r="AF444">
        <f t="shared" si="105"/>
        <v>0</v>
      </c>
      <c r="AG444">
        <f t="shared" si="105"/>
        <v>0</v>
      </c>
      <c r="AH444">
        <f t="shared" si="105"/>
        <v>0</v>
      </c>
      <c r="AI444">
        <f t="shared" si="105"/>
        <v>0</v>
      </c>
      <c r="AJ444">
        <f t="shared" si="105"/>
        <v>0</v>
      </c>
      <c r="AK444">
        <f t="shared" si="105"/>
        <v>0</v>
      </c>
      <c r="AL444">
        <f t="shared" si="105"/>
        <v>0</v>
      </c>
      <c r="AM444">
        <f t="shared" si="105"/>
        <v>0</v>
      </c>
      <c r="AO444">
        <v>0.1</v>
      </c>
      <c r="AP444">
        <f t="shared" si="103"/>
        <v>448</v>
      </c>
      <c r="AQ444" t="e">
        <f t="shared" si="100"/>
        <v>#DIV/0!</v>
      </c>
    </row>
    <row r="445" spans="1:61" x14ac:dyDescent="0.2">
      <c r="A445">
        <v>0.1</v>
      </c>
      <c r="B445">
        <f t="shared" si="101"/>
        <v>498</v>
      </c>
      <c r="V445" t="e">
        <f t="shared" ref="V445:AM445" si="106">C445*C31</f>
        <v>#DIV/0!</v>
      </c>
      <c r="W445">
        <f t="shared" si="106"/>
        <v>0</v>
      </c>
      <c r="X445" t="e">
        <f t="shared" si="106"/>
        <v>#DIV/0!</v>
      </c>
      <c r="Y445" t="e">
        <f t="shared" si="106"/>
        <v>#DIV/0!</v>
      </c>
      <c r="Z445" t="e">
        <f t="shared" si="106"/>
        <v>#DIV/0!</v>
      </c>
      <c r="AA445">
        <f t="shared" si="106"/>
        <v>0</v>
      </c>
      <c r="AB445" t="e">
        <f t="shared" si="106"/>
        <v>#DIV/0!</v>
      </c>
      <c r="AC445">
        <f t="shared" si="106"/>
        <v>0</v>
      </c>
      <c r="AD445" t="e">
        <f t="shared" si="106"/>
        <v>#DIV/0!</v>
      </c>
      <c r="AE445">
        <f t="shared" si="106"/>
        <v>0</v>
      </c>
      <c r="AF445">
        <f t="shared" si="106"/>
        <v>0</v>
      </c>
      <c r="AG445">
        <f t="shared" si="106"/>
        <v>0</v>
      </c>
      <c r="AH445">
        <f t="shared" si="106"/>
        <v>0</v>
      </c>
      <c r="AI445">
        <f t="shared" si="106"/>
        <v>0</v>
      </c>
      <c r="AJ445">
        <f t="shared" si="106"/>
        <v>0</v>
      </c>
      <c r="AK445">
        <f t="shared" si="106"/>
        <v>0</v>
      </c>
      <c r="AL445">
        <f t="shared" si="106"/>
        <v>0</v>
      </c>
      <c r="AM445">
        <f t="shared" si="106"/>
        <v>0</v>
      </c>
      <c r="AO445">
        <v>0.1</v>
      </c>
      <c r="AP445">
        <f t="shared" si="103"/>
        <v>498</v>
      </c>
      <c r="AQ445" t="e">
        <f t="shared" si="100"/>
        <v>#DIV/0!</v>
      </c>
    </row>
    <row r="446" spans="1:61" x14ac:dyDescent="0.2">
      <c r="A446">
        <v>0.1</v>
      </c>
      <c r="B446">
        <f t="shared" si="101"/>
        <v>548</v>
      </c>
      <c r="V446" t="e">
        <f t="shared" ref="V446:AM446" si="107">C446*C32</f>
        <v>#DIV/0!</v>
      </c>
      <c r="W446">
        <f t="shared" si="107"/>
        <v>0</v>
      </c>
      <c r="X446" t="e">
        <f t="shared" si="107"/>
        <v>#DIV/0!</v>
      </c>
      <c r="Y446" t="e">
        <f t="shared" si="107"/>
        <v>#DIV/0!</v>
      </c>
      <c r="Z446" t="e">
        <f t="shared" si="107"/>
        <v>#DIV/0!</v>
      </c>
      <c r="AA446">
        <f t="shared" si="107"/>
        <v>0</v>
      </c>
      <c r="AB446" t="e">
        <f t="shared" si="107"/>
        <v>#DIV/0!</v>
      </c>
      <c r="AC446">
        <f t="shared" si="107"/>
        <v>0</v>
      </c>
      <c r="AD446" t="e">
        <f t="shared" si="107"/>
        <v>#DIV/0!</v>
      </c>
      <c r="AE446">
        <f t="shared" si="107"/>
        <v>0</v>
      </c>
      <c r="AF446">
        <f t="shared" si="107"/>
        <v>0</v>
      </c>
      <c r="AG446">
        <f t="shared" si="107"/>
        <v>0</v>
      </c>
      <c r="AH446">
        <f t="shared" si="107"/>
        <v>0</v>
      </c>
      <c r="AI446">
        <f t="shared" si="107"/>
        <v>0</v>
      </c>
      <c r="AJ446">
        <f t="shared" si="107"/>
        <v>0</v>
      </c>
      <c r="AK446">
        <f t="shared" si="107"/>
        <v>0</v>
      </c>
      <c r="AL446">
        <f t="shared" si="107"/>
        <v>0</v>
      </c>
      <c r="AM446">
        <f t="shared" si="107"/>
        <v>0</v>
      </c>
      <c r="AO446">
        <v>0.1</v>
      </c>
      <c r="AP446">
        <f t="shared" si="103"/>
        <v>548</v>
      </c>
      <c r="AQ446" t="e">
        <f t="shared" si="100"/>
        <v>#DIV/0!</v>
      </c>
    </row>
    <row r="447" spans="1:61" x14ac:dyDescent="0.2">
      <c r="A447">
        <v>0.1</v>
      </c>
      <c r="B447">
        <f t="shared" si="101"/>
        <v>598</v>
      </c>
      <c r="V447" t="e">
        <f t="shared" ref="V447:AM447" si="108">C447*C33</f>
        <v>#DIV/0!</v>
      </c>
      <c r="W447">
        <f t="shared" si="108"/>
        <v>0</v>
      </c>
      <c r="X447" t="e">
        <f t="shared" si="108"/>
        <v>#DIV/0!</v>
      </c>
      <c r="Y447" t="e">
        <f t="shared" si="108"/>
        <v>#DIV/0!</v>
      </c>
      <c r="Z447" t="e">
        <f t="shared" si="108"/>
        <v>#DIV/0!</v>
      </c>
      <c r="AA447">
        <f t="shared" si="108"/>
        <v>0</v>
      </c>
      <c r="AB447" t="e">
        <f t="shared" si="108"/>
        <v>#DIV/0!</v>
      </c>
      <c r="AC447">
        <f t="shared" si="108"/>
        <v>0</v>
      </c>
      <c r="AD447" t="e">
        <f t="shared" si="108"/>
        <v>#DIV/0!</v>
      </c>
      <c r="AE447">
        <f t="shared" si="108"/>
        <v>0</v>
      </c>
      <c r="AF447">
        <f t="shared" si="108"/>
        <v>0</v>
      </c>
      <c r="AG447">
        <f t="shared" si="108"/>
        <v>0</v>
      </c>
      <c r="AH447">
        <f t="shared" si="108"/>
        <v>0</v>
      </c>
      <c r="AI447">
        <f t="shared" si="108"/>
        <v>0</v>
      </c>
      <c r="AJ447">
        <f t="shared" si="108"/>
        <v>0</v>
      </c>
      <c r="AK447">
        <f t="shared" si="108"/>
        <v>0</v>
      </c>
      <c r="AL447">
        <f t="shared" si="108"/>
        <v>0</v>
      </c>
      <c r="AM447">
        <f t="shared" si="108"/>
        <v>0</v>
      </c>
      <c r="AO447">
        <v>0.1</v>
      </c>
      <c r="AP447">
        <f t="shared" si="103"/>
        <v>598</v>
      </c>
      <c r="AQ447" t="e">
        <f t="shared" si="100"/>
        <v>#DIV/0!</v>
      </c>
    </row>
    <row r="448" spans="1:61" x14ac:dyDescent="0.2">
      <c r="A448">
        <v>0.1</v>
      </c>
      <c r="B448">
        <f t="shared" si="101"/>
        <v>648</v>
      </c>
      <c r="V448" t="e">
        <f t="shared" ref="V448:AM448" si="109">C448*C34</f>
        <v>#DIV/0!</v>
      </c>
      <c r="W448">
        <f t="shared" si="109"/>
        <v>0</v>
      </c>
      <c r="X448" t="e">
        <f t="shared" si="109"/>
        <v>#DIV/0!</v>
      </c>
      <c r="Y448" t="e">
        <f t="shared" si="109"/>
        <v>#DIV/0!</v>
      </c>
      <c r="Z448" t="e">
        <f t="shared" si="109"/>
        <v>#DIV/0!</v>
      </c>
      <c r="AA448">
        <f t="shared" si="109"/>
        <v>0</v>
      </c>
      <c r="AB448" t="e">
        <f t="shared" si="109"/>
        <v>#DIV/0!</v>
      </c>
      <c r="AC448">
        <f t="shared" si="109"/>
        <v>0</v>
      </c>
      <c r="AD448" t="e">
        <f t="shared" si="109"/>
        <v>#DIV/0!</v>
      </c>
      <c r="AE448">
        <f t="shared" si="109"/>
        <v>0</v>
      </c>
      <c r="AF448">
        <f t="shared" si="109"/>
        <v>0</v>
      </c>
      <c r="AG448">
        <f t="shared" si="109"/>
        <v>0</v>
      </c>
      <c r="AH448">
        <f t="shared" si="109"/>
        <v>0</v>
      </c>
      <c r="AI448">
        <f t="shared" si="109"/>
        <v>0</v>
      </c>
      <c r="AJ448">
        <f t="shared" si="109"/>
        <v>0</v>
      </c>
      <c r="AK448">
        <f t="shared" si="109"/>
        <v>0</v>
      </c>
      <c r="AL448">
        <f t="shared" si="109"/>
        <v>0</v>
      </c>
      <c r="AM448">
        <f t="shared" si="109"/>
        <v>0</v>
      </c>
      <c r="AO448">
        <v>0.1</v>
      </c>
      <c r="AP448">
        <f t="shared" si="103"/>
        <v>648</v>
      </c>
      <c r="AQ448" t="e">
        <f t="shared" si="100"/>
        <v>#DIV/0!</v>
      </c>
    </row>
    <row r="449" spans="1:43" x14ac:dyDescent="0.2">
      <c r="A449">
        <v>0.1</v>
      </c>
      <c r="B449">
        <f t="shared" si="101"/>
        <v>698</v>
      </c>
      <c r="V449" t="e">
        <f t="shared" ref="V449:AM449" si="110">C449*C35</f>
        <v>#DIV/0!</v>
      </c>
      <c r="W449">
        <f t="shared" si="110"/>
        <v>0</v>
      </c>
      <c r="X449" t="e">
        <f t="shared" si="110"/>
        <v>#DIV/0!</v>
      </c>
      <c r="Y449" t="e">
        <f t="shared" si="110"/>
        <v>#DIV/0!</v>
      </c>
      <c r="Z449" t="e">
        <f t="shared" si="110"/>
        <v>#DIV/0!</v>
      </c>
      <c r="AA449">
        <f t="shared" si="110"/>
        <v>0</v>
      </c>
      <c r="AB449" t="e">
        <f t="shared" si="110"/>
        <v>#DIV/0!</v>
      </c>
      <c r="AC449">
        <f t="shared" si="110"/>
        <v>0</v>
      </c>
      <c r="AD449" t="e">
        <f t="shared" si="110"/>
        <v>#DIV/0!</v>
      </c>
      <c r="AE449">
        <f t="shared" si="110"/>
        <v>0</v>
      </c>
      <c r="AF449">
        <f t="shared" si="110"/>
        <v>0</v>
      </c>
      <c r="AG449">
        <f t="shared" si="110"/>
        <v>0</v>
      </c>
      <c r="AH449">
        <f t="shared" si="110"/>
        <v>0</v>
      </c>
      <c r="AI449">
        <f t="shared" si="110"/>
        <v>0</v>
      </c>
      <c r="AJ449">
        <f t="shared" si="110"/>
        <v>0</v>
      </c>
      <c r="AK449">
        <f t="shared" si="110"/>
        <v>0</v>
      </c>
      <c r="AL449">
        <f t="shared" si="110"/>
        <v>0</v>
      </c>
      <c r="AM449">
        <f t="shared" si="110"/>
        <v>0</v>
      </c>
      <c r="AO449">
        <v>0.1</v>
      </c>
      <c r="AP449">
        <f t="shared" si="103"/>
        <v>698</v>
      </c>
      <c r="AQ449" t="e">
        <f t="shared" si="100"/>
        <v>#DIV/0!</v>
      </c>
    </row>
    <row r="450" spans="1:43" x14ac:dyDescent="0.2">
      <c r="A450">
        <v>0.1</v>
      </c>
      <c r="B450">
        <f t="shared" si="101"/>
        <v>748</v>
      </c>
      <c r="V450" t="e">
        <f t="shared" ref="V450:AM450" si="111">C450*C36</f>
        <v>#DIV/0!</v>
      </c>
      <c r="W450">
        <f t="shared" si="111"/>
        <v>0</v>
      </c>
      <c r="X450" t="e">
        <f t="shared" si="111"/>
        <v>#DIV/0!</v>
      </c>
      <c r="Y450" t="e">
        <f t="shared" si="111"/>
        <v>#DIV/0!</v>
      </c>
      <c r="Z450" t="e">
        <f t="shared" si="111"/>
        <v>#DIV/0!</v>
      </c>
      <c r="AA450">
        <f t="shared" si="111"/>
        <v>0</v>
      </c>
      <c r="AB450" t="e">
        <f t="shared" si="111"/>
        <v>#DIV/0!</v>
      </c>
      <c r="AC450">
        <f t="shared" si="111"/>
        <v>0</v>
      </c>
      <c r="AD450" t="e">
        <f t="shared" si="111"/>
        <v>#DIV/0!</v>
      </c>
      <c r="AE450">
        <f t="shared" si="111"/>
        <v>0</v>
      </c>
      <c r="AF450">
        <f t="shared" si="111"/>
        <v>0</v>
      </c>
      <c r="AG450">
        <f t="shared" si="111"/>
        <v>0</v>
      </c>
      <c r="AH450">
        <f t="shared" si="111"/>
        <v>0</v>
      </c>
      <c r="AI450">
        <f t="shared" si="111"/>
        <v>0</v>
      </c>
      <c r="AJ450">
        <f t="shared" si="111"/>
        <v>0</v>
      </c>
      <c r="AK450">
        <f t="shared" si="111"/>
        <v>0</v>
      </c>
      <c r="AL450">
        <f t="shared" si="111"/>
        <v>0</v>
      </c>
      <c r="AM450">
        <f t="shared" si="111"/>
        <v>0</v>
      </c>
      <c r="AO450">
        <v>0.1</v>
      </c>
      <c r="AP450">
        <f t="shared" si="103"/>
        <v>748</v>
      </c>
      <c r="AQ450" t="e">
        <f t="shared" si="100"/>
        <v>#DIV/0!</v>
      </c>
    </row>
    <row r="451" spans="1:43" x14ac:dyDescent="0.2">
      <c r="A451">
        <v>0.1</v>
      </c>
      <c r="B451">
        <f t="shared" si="101"/>
        <v>798</v>
      </c>
      <c r="V451" t="e">
        <f t="shared" ref="V451:AM451" si="112">C451*C37</f>
        <v>#DIV/0!</v>
      </c>
      <c r="W451">
        <f t="shared" si="112"/>
        <v>0</v>
      </c>
      <c r="X451" t="e">
        <f t="shared" si="112"/>
        <v>#DIV/0!</v>
      </c>
      <c r="Y451" t="e">
        <f t="shared" si="112"/>
        <v>#DIV/0!</v>
      </c>
      <c r="Z451" t="e">
        <f t="shared" si="112"/>
        <v>#DIV/0!</v>
      </c>
      <c r="AA451">
        <f t="shared" si="112"/>
        <v>0</v>
      </c>
      <c r="AB451" t="e">
        <f t="shared" si="112"/>
        <v>#DIV/0!</v>
      </c>
      <c r="AC451">
        <f t="shared" si="112"/>
        <v>0</v>
      </c>
      <c r="AD451" t="e">
        <f t="shared" si="112"/>
        <v>#DIV/0!</v>
      </c>
      <c r="AE451">
        <f t="shared" si="112"/>
        <v>0</v>
      </c>
      <c r="AF451">
        <f t="shared" si="112"/>
        <v>0</v>
      </c>
      <c r="AG451">
        <f t="shared" si="112"/>
        <v>0</v>
      </c>
      <c r="AH451">
        <f t="shared" si="112"/>
        <v>0</v>
      </c>
      <c r="AI451">
        <f t="shared" si="112"/>
        <v>0</v>
      </c>
      <c r="AJ451">
        <f t="shared" si="112"/>
        <v>0</v>
      </c>
      <c r="AK451">
        <f t="shared" si="112"/>
        <v>0</v>
      </c>
      <c r="AL451">
        <f t="shared" si="112"/>
        <v>0</v>
      </c>
      <c r="AM451">
        <f t="shared" si="112"/>
        <v>0</v>
      </c>
      <c r="AO451">
        <v>0.1</v>
      </c>
      <c r="AP451">
        <f t="shared" si="103"/>
        <v>798</v>
      </c>
      <c r="AQ451" t="e">
        <f t="shared" si="100"/>
        <v>#DIV/0!</v>
      </c>
    </row>
    <row r="452" spans="1:43" x14ac:dyDescent="0.2">
      <c r="A452">
        <v>0.1</v>
      </c>
      <c r="B452">
        <f t="shared" si="101"/>
        <v>848</v>
      </c>
      <c r="V452" t="e">
        <f t="shared" ref="V452:AM452" si="113">C452*C38</f>
        <v>#DIV/0!</v>
      </c>
      <c r="W452">
        <f t="shared" si="113"/>
        <v>0</v>
      </c>
      <c r="X452" t="e">
        <f t="shared" si="113"/>
        <v>#DIV/0!</v>
      </c>
      <c r="Y452" t="e">
        <f t="shared" si="113"/>
        <v>#DIV/0!</v>
      </c>
      <c r="Z452" t="e">
        <f t="shared" si="113"/>
        <v>#DIV/0!</v>
      </c>
      <c r="AA452">
        <f t="shared" si="113"/>
        <v>0</v>
      </c>
      <c r="AB452" t="e">
        <f t="shared" si="113"/>
        <v>#DIV/0!</v>
      </c>
      <c r="AC452">
        <f t="shared" si="113"/>
        <v>0</v>
      </c>
      <c r="AD452" t="e">
        <f t="shared" si="113"/>
        <v>#DIV/0!</v>
      </c>
      <c r="AE452">
        <f t="shared" si="113"/>
        <v>0</v>
      </c>
      <c r="AF452">
        <f t="shared" si="113"/>
        <v>0</v>
      </c>
      <c r="AG452">
        <f t="shared" si="113"/>
        <v>0</v>
      </c>
      <c r="AH452">
        <f t="shared" si="113"/>
        <v>0</v>
      </c>
      <c r="AI452">
        <f t="shared" si="113"/>
        <v>0</v>
      </c>
      <c r="AJ452">
        <f t="shared" si="113"/>
        <v>0</v>
      </c>
      <c r="AK452">
        <f t="shared" si="113"/>
        <v>0</v>
      </c>
      <c r="AL452">
        <f t="shared" si="113"/>
        <v>0</v>
      </c>
      <c r="AM452">
        <f t="shared" si="113"/>
        <v>0</v>
      </c>
      <c r="AO452">
        <v>0.1</v>
      </c>
      <c r="AP452">
        <f t="shared" si="103"/>
        <v>848</v>
      </c>
      <c r="AQ452" t="e">
        <f t="shared" si="100"/>
        <v>#DIV/0!</v>
      </c>
    </row>
    <row r="453" spans="1:43" x14ac:dyDescent="0.2">
      <c r="A453">
        <v>0.1</v>
      </c>
      <c r="B453">
        <f t="shared" si="101"/>
        <v>898</v>
      </c>
      <c r="V453" t="e">
        <f t="shared" ref="V453:AM453" si="114">C453*C39</f>
        <v>#DIV/0!</v>
      </c>
      <c r="W453">
        <f t="shared" si="114"/>
        <v>0</v>
      </c>
      <c r="X453" t="e">
        <f t="shared" si="114"/>
        <v>#DIV/0!</v>
      </c>
      <c r="Y453" t="e">
        <f t="shared" si="114"/>
        <v>#DIV/0!</v>
      </c>
      <c r="Z453" t="e">
        <f t="shared" si="114"/>
        <v>#DIV/0!</v>
      </c>
      <c r="AA453">
        <f t="shared" si="114"/>
        <v>0</v>
      </c>
      <c r="AB453" t="e">
        <f t="shared" si="114"/>
        <v>#DIV/0!</v>
      </c>
      <c r="AC453">
        <f t="shared" si="114"/>
        <v>0</v>
      </c>
      <c r="AD453" t="e">
        <f t="shared" si="114"/>
        <v>#DIV/0!</v>
      </c>
      <c r="AE453">
        <f t="shared" si="114"/>
        <v>0</v>
      </c>
      <c r="AF453">
        <f t="shared" si="114"/>
        <v>0</v>
      </c>
      <c r="AG453">
        <f t="shared" si="114"/>
        <v>0</v>
      </c>
      <c r="AH453">
        <f t="shared" si="114"/>
        <v>0</v>
      </c>
      <c r="AI453">
        <f t="shared" si="114"/>
        <v>0</v>
      </c>
      <c r="AJ453">
        <f t="shared" si="114"/>
        <v>0</v>
      </c>
      <c r="AK453">
        <f t="shared" si="114"/>
        <v>0</v>
      </c>
      <c r="AL453">
        <f t="shared" si="114"/>
        <v>0</v>
      </c>
      <c r="AM453">
        <f t="shared" si="114"/>
        <v>0</v>
      </c>
      <c r="AO453">
        <v>0.1</v>
      </c>
      <c r="AP453">
        <f t="shared" si="103"/>
        <v>898</v>
      </c>
      <c r="AQ453" t="e">
        <f t="shared" si="100"/>
        <v>#DIV/0!</v>
      </c>
    </row>
    <row r="454" spans="1:43" x14ac:dyDescent="0.2">
      <c r="A454">
        <v>0.1</v>
      </c>
      <c r="B454">
        <f t="shared" si="101"/>
        <v>948</v>
      </c>
      <c r="V454" t="e">
        <f t="shared" ref="V454:AM454" si="115">C454*C40</f>
        <v>#DIV/0!</v>
      </c>
      <c r="W454">
        <f t="shared" si="115"/>
        <v>0</v>
      </c>
      <c r="X454" t="e">
        <f t="shared" si="115"/>
        <v>#DIV/0!</v>
      </c>
      <c r="Y454" t="e">
        <f t="shared" si="115"/>
        <v>#DIV/0!</v>
      </c>
      <c r="Z454" t="e">
        <f t="shared" si="115"/>
        <v>#DIV/0!</v>
      </c>
      <c r="AA454">
        <f t="shared" si="115"/>
        <v>0</v>
      </c>
      <c r="AB454" t="e">
        <f t="shared" si="115"/>
        <v>#DIV/0!</v>
      </c>
      <c r="AC454">
        <f t="shared" si="115"/>
        <v>0</v>
      </c>
      <c r="AD454" t="e">
        <f t="shared" si="115"/>
        <v>#DIV/0!</v>
      </c>
      <c r="AE454">
        <f t="shared" si="115"/>
        <v>0</v>
      </c>
      <c r="AF454">
        <f t="shared" si="115"/>
        <v>0</v>
      </c>
      <c r="AG454">
        <f t="shared" si="115"/>
        <v>0</v>
      </c>
      <c r="AH454">
        <f t="shared" si="115"/>
        <v>0</v>
      </c>
      <c r="AI454">
        <f t="shared" si="115"/>
        <v>0</v>
      </c>
      <c r="AJ454">
        <f t="shared" si="115"/>
        <v>0</v>
      </c>
      <c r="AK454">
        <f t="shared" si="115"/>
        <v>0</v>
      </c>
      <c r="AL454">
        <f t="shared" si="115"/>
        <v>0</v>
      </c>
      <c r="AM454">
        <f t="shared" si="115"/>
        <v>0</v>
      </c>
      <c r="AO454">
        <v>0.1</v>
      </c>
      <c r="AP454">
        <f t="shared" si="103"/>
        <v>948</v>
      </c>
      <c r="AQ454" t="e">
        <f t="shared" si="100"/>
        <v>#DIV/0!</v>
      </c>
    </row>
    <row r="455" spans="1:43" x14ac:dyDescent="0.2">
      <c r="A455">
        <v>570.1</v>
      </c>
      <c r="B455">
        <v>298</v>
      </c>
      <c r="V455" t="e">
        <f t="shared" ref="V455:AM455" si="116">C455*C41</f>
        <v>#DIV/0!</v>
      </c>
      <c r="W455">
        <f t="shared" si="116"/>
        <v>0</v>
      </c>
      <c r="X455" t="e">
        <f t="shared" si="116"/>
        <v>#DIV/0!</v>
      </c>
      <c r="Y455" t="e">
        <f t="shared" si="116"/>
        <v>#DIV/0!</v>
      </c>
      <c r="Z455" t="e">
        <f t="shared" si="116"/>
        <v>#DIV/0!</v>
      </c>
      <c r="AA455">
        <f t="shared" si="116"/>
        <v>0</v>
      </c>
      <c r="AB455" t="e">
        <f t="shared" si="116"/>
        <v>#DIV/0!</v>
      </c>
      <c r="AC455">
        <f t="shared" si="116"/>
        <v>0</v>
      </c>
      <c r="AD455" t="e">
        <f t="shared" si="116"/>
        <v>#DIV/0!</v>
      </c>
      <c r="AE455">
        <f t="shared" si="116"/>
        <v>0</v>
      </c>
      <c r="AF455">
        <f t="shared" si="116"/>
        <v>0</v>
      </c>
      <c r="AG455">
        <f t="shared" si="116"/>
        <v>0</v>
      </c>
      <c r="AH455">
        <f t="shared" si="116"/>
        <v>0</v>
      </c>
      <c r="AI455">
        <f t="shared" si="116"/>
        <v>0</v>
      </c>
      <c r="AJ455">
        <f t="shared" si="116"/>
        <v>0</v>
      </c>
      <c r="AK455">
        <f t="shared" si="116"/>
        <v>0</v>
      </c>
      <c r="AL455">
        <f t="shared" si="116"/>
        <v>0</v>
      </c>
      <c r="AM455">
        <f t="shared" si="116"/>
        <v>0</v>
      </c>
      <c r="AO455">
        <v>570.1</v>
      </c>
      <c r="AP455">
        <v>298</v>
      </c>
      <c r="AQ455" t="e">
        <f t="shared" si="100"/>
        <v>#DIV/0!</v>
      </c>
    </row>
    <row r="456" spans="1:43" x14ac:dyDescent="0.2">
      <c r="A456">
        <v>570.1</v>
      </c>
      <c r="B456">
        <f t="shared" ref="B456:B468" si="117">B455+50</f>
        <v>348</v>
      </c>
      <c r="V456" t="e">
        <f t="shared" ref="V456:AM456" si="118">C456*C42</f>
        <v>#DIV/0!</v>
      </c>
      <c r="W456">
        <f t="shared" si="118"/>
        <v>0</v>
      </c>
      <c r="X456" t="e">
        <f t="shared" si="118"/>
        <v>#DIV/0!</v>
      </c>
      <c r="Y456" t="e">
        <f t="shared" si="118"/>
        <v>#DIV/0!</v>
      </c>
      <c r="Z456" t="e">
        <f t="shared" si="118"/>
        <v>#DIV/0!</v>
      </c>
      <c r="AA456">
        <f t="shared" si="118"/>
        <v>0</v>
      </c>
      <c r="AB456" t="e">
        <f t="shared" si="118"/>
        <v>#DIV/0!</v>
      </c>
      <c r="AC456">
        <f t="shared" si="118"/>
        <v>0</v>
      </c>
      <c r="AD456" t="e">
        <f t="shared" si="118"/>
        <v>#DIV/0!</v>
      </c>
      <c r="AE456">
        <f t="shared" si="118"/>
        <v>0</v>
      </c>
      <c r="AF456">
        <f t="shared" si="118"/>
        <v>0</v>
      </c>
      <c r="AG456">
        <f t="shared" si="118"/>
        <v>0</v>
      </c>
      <c r="AH456">
        <f t="shared" si="118"/>
        <v>0</v>
      </c>
      <c r="AI456">
        <f t="shared" si="118"/>
        <v>0</v>
      </c>
      <c r="AJ456">
        <f t="shared" si="118"/>
        <v>0</v>
      </c>
      <c r="AK456">
        <f t="shared" si="118"/>
        <v>0</v>
      </c>
      <c r="AL456">
        <f t="shared" si="118"/>
        <v>0</v>
      </c>
      <c r="AM456">
        <f t="shared" si="118"/>
        <v>0</v>
      </c>
      <c r="AO456">
        <v>570.1</v>
      </c>
      <c r="AP456">
        <f t="shared" ref="AP456:AP468" si="119">AP455+50</f>
        <v>348</v>
      </c>
      <c r="AQ456" t="e">
        <f t="shared" si="100"/>
        <v>#DIV/0!</v>
      </c>
    </row>
    <row r="457" spans="1:43" x14ac:dyDescent="0.2">
      <c r="A457">
        <v>570.1</v>
      </c>
      <c r="B457">
        <f t="shared" si="117"/>
        <v>398</v>
      </c>
      <c r="V457" t="e">
        <f t="shared" ref="V457:AM457" si="120">C457*C43</f>
        <v>#DIV/0!</v>
      </c>
      <c r="W457">
        <f t="shared" si="120"/>
        <v>0</v>
      </c>
      <c r="X457" t="e">
        <f t="shared" si="120"/>
        <v>#DIV/0!</v>
      </c>
      <c r="Y457" t="e">
        <f t="shared" si="120"/>
        <v>#DIV/0!</v>
      </c>
      <c r="Z457" t="e">
        <f t="shared" si="120"/>
        <v>#DIV/0!</v>
      </c>
      <c r="AA457">
        <f t="shared" si="120"/>
        <v>0</v>
      </c>
      <c r="AB457" t="e">
        <f t="shared" si="120"/>
        <v>#DIV/0!</v>
      </c>
      <c r="AC457">
        <f t="shared" si="120"/>
        <v>0</v>
      </c>
      <c r="AD457" t="e">
        <f t="shared" si="120"/>
        <v>#DIV/0!</v>
      </c>
      <c r="AE457">
        <f t="shared" si="120"/>
        <v>0</v>
      </c>
      <c r="AF457">
        <f t="shared" si="120"/>
        <v>0</v>
      </c>
      <c r="AG457">
        <f t="shared" si="120"/>
        <v>0</v>
      </c>
      <c r="AH457">
        <f t="shared" si="120"/>
        <v>0</v>
      </c>
      <c r="AI457">
        <f t="shared" si="120"/>
        <v>0</v>
      </c>
      <c r="AJ457">
        <f t="shared" si="120"/>
        <v>0</v>
      </c>
      <c r="AK457">
        <f t="shared" si="120"/>
        <v>0</v>
      </c>
      <c r="AL457">
        <f t="shared" si="120"/>
        <v>0</v>
      </c>
      <c r="AM457">
        <f t="shared" si="120"/>
        <v>0</v>
      </c>
      <c r="AO457">
        <v>570.1</v>
      </c>
      <c r="AP457">
        <f t="shared" si="119"/>
        <v>398</v>
      </c>
      <c r="AQ457" t="e">
        <f t="shared" si="100"/>
        <v>#DIV/0!</v>
      </c>
    </row>
    <row r="458" spans="1:43" x14ac:dyDescent="0.2">
      <c r="A458">
        <v>570.1</v>
      </c>
      <c r="B458">
        <f t="shared" si="117"/>
        <v>448</v>
      </c>
      <c r="V458" t="e">
        <f t="shared" ref="V458:AM458" si="121">C458*C44</f>
        <v>#DIV/0!</v>
      </c>
      <c r="W458">
        <f t="shared" si="121"/>
        <v>0</v>
      </c>
      <c r="X458" t="e">
        <f t="shared" si="121"/>
        <v>#DIV/0!</v>
      </c>
      <c r="Y458" t="e">
        <f t="shared" si="121"/>
        <v>#DIV/0!</v>
      </c>
      <c r="Z458" t="e">
        <f t="shared" si="121"/>
        <v>#DIV/0!</v>
      </c>
      <c r="AA458">
        <f t="shared" si="121"/>
        <v>0</v>
      </c>
      <c r="AB458" t="e">
        <f t="shared" si="121"/>
        <v>#DIV/0!</v>
      </c>
      <c r="AC458">
        <f t="shared" si="121"/>
        <v>0</v>
      </c>
      <c r="AD458" t="e">
        <f t="shared" si="121"/>
        <v>#DIV/0!</v>
      </c>
      <c r="AE458">
        <f t="shared" si="121"/>
        <v>0</v>
      </c>
      <c r="AF458">
        <f t="shared" si="121"/>
        <v>0</v>
      </c>
      <c r="AG458">
        <f t="shared" si="121"/>
        <v>0</v>
      </c>
      <c r="AH458">
        <f t="shared" si="121"/>
        <v>0</v>
      </c>
      <c r="AI458">
        <f t="shared" si="121"/>
        <v>0</v>
      </c>
      <c r="AJ458">
        <f t="shared" si="121"/>
        <v>0</v>
      </c>
      <c r="AK458">
        <f t="shared" si="121"/>
        <v>0</v>
      </c>
      <c r="AL458">
        <f t="shared" si="121"/>
        <v>0</v>
      </c>
      <c r="AM458">
        <f t="shared" si="121"/>
        <v>0</v>
      </c>
      <c r="AO458">
        <v>570.1</v>
      </c>
      <c r="AP458">
        <f t="shared" si="119"/>
        <v>448</v>
      </c>
      <c r="AQ458" t="e">
        <f t="shared" si="100"/>
        <v>#DIV/0!</v>
      </c>
    </row>
    <row r="459" spans="1:43" x14ac:dyDescent="0.2">
      <c r="A459">
        <v>570.1</v>
      </c>
      <c r="B459">
        <f t="shared" si="117"/>
        <v>498</v>
      </c>
      <c r="V459" t="e">
        <f t="shared" ref="V459:AM459" si="122">C459*C45</f>
        <v>#DIV/0!</v>
      </c>
      <c r="W459">
        <f t="shared" si="122"/>
        <v>0</v>
      </c>
      <c r="X459" t="e">
        <f t="shared" si="122"/>
        <v>#DIV/0!</v>
      </c>
      <c r="Y459" t="e">
        <f t="shared" si="122"/>
        <v>#DIV/0!</v>
      </c>
      <c r="Z459" t="e">
        <f t="shared" si="122"/>
        <v>#DIV/0!</v>
      </c>
      <c r="AA459">
        <f t="shared" si="122"/>
        <v>0</v>
      </c>
      <c r="AB459" t="e">
        <f t="shared" si="122"/>
        <v>#DIV/0!</v>
      </c>
      <c r="AC459">
        <f t="shared" si="122"/>
        <v>0</v>
      </c>
      <c r="AD459" t="e">
        <f t="shared" si="122"/>
        <v>#DIV/0!</v>
      </c>
      <c r="AE459">
        <f t="shared" si="122"/>
        <v>0</v>
      </c>
      <c r="AF459">
        <f t="shared" si="122"/>
        <v>0</v>
      </c>
      <c r="AG459">
        <f t="shared" si="122"/>
        <v>0</v>
      </c>
      <c r="AH459">
        <f t="shared" si="122"/>
        <v>0</v>
      </c>
      <c r="AI459">
        <f t="shared" si="122"/>
        <v>0</v>
      </c>
      <c r="AJ459">
        <f t="shared" si="122"/>
        <v>0</v>
      </c>
      <c r="AK459">
        <f t="shared" si="122"/>
        <v>0</v>
      </c>
      <c r="AL459">
        <f t="shared" si="122"/>
        <v>0</v>
      </c>
      <c r="AM459">
        <f t="shared" si="122"/>
        <v>0</v>
      </c>
      <c r="AO459">
        <v>570.1</v>
      </c>
      <c r="AP459">
        <f t="shared" si="119"/>
        <v>498</v>
      </c>
      <c r="AQ459" t="e">
        <f t="shared" si="100"/>
        <v>#DIV/0!</v>
      </c>
    </row>
    <row r="460" spans="1:43" x14ac:dyDescent="0.2">
      <c r="A460">
        <v>570.1</v>
      </c>
      <c r="B460">
        <f t="shared" si="117"/>
        <v>548</v>
      </c>
      <c r="V460" t="e">
        <f t="shared" ref="V460:AM460" si="123">C460*C46</f>
        <v>#DIV/0!</v>
      </c>
      <c r="W460">
        <f t="shared" si="123"/>
        <v>0</v>
      </c>
      <c r="X460" t="e">
        <f t="shared" si="123"/>
        <v>#DIV/0!</v>
      </c>
      <c r="Y460" t="e">
        <f t="shared" si="123"/>
        <v>#DIV/0!</v>
      </c>
      <c r="Z460" t="e">
        <f t="shared" si="123"/>
        <v>#DIV/0!</v>
      </c>
      <c r="AA460">
        <f t="shared" si="123"/>
        <v>0</v>
      </c>
      <c r="AB460" t="e">
        <f t="shared" si="123"/>
        <v>#DIV/0!</v>
      </c>
      <c r="AC460">
        <f t="shared" si="123"/>
        <v>0</v>
      </c>
      <c r="AD460" t="e">
        <f t="shared" si="123"/>
        <v>#DIV/0!</v>
      </c>
      <c r="AE460">
        <f t="shared" si="123"/>
        <v>0</v>
      </c>
      <c r="AF460">
        <f t="shared" si="123"/>
        <v>0</v>
      </c>
      <c r="AG460">
        <f t="shared" si="123"/>
        <v>0</v>
      </c>
      <c r="AH460">
        <f t="shared" si="123"/>
        <v>0</v>
      </c>
      <c r="AI460">
        <f t="shared" si="123"/>
        <v>0</v>
      </c>
      <c r="AJ460">
        <f t="shared" si="123"/>
        <v>0</v>
      </c>
      <c r="AK460">
        <f t="shared" si="123"/>
        <v>0</v>
      </c>
      <c r="AL460">
        <f t="shared" si="123"/>
        <v>0</v>
      </c>
      <c r="AM460">
        <f t="shared" si="123"/>
        <v>0</v>
      </c>
      <c r="AO460">
        <v>570.1</v>
      </c>
      <c r="AP460">
        <f t="shared" si="119"/>
        <v>548</v>
      </c>
      <c r="AQ460" t="e">
        <f t="shared" si="100"/>
        <v>#DIV/0!</v>
      </c>
    </row>
    <row r="461" spans="1:43" x14ac:dyDescent="0.2">
      <c r="A461">
        <v>570.1</v>
      </c>
      <c r="B461">
        <f t="shared" si="117"/>
        <v>598</v>
      </c>
      <c r="V461" t="e">
        <f t="shared" ref="V461:AM461" si="124">C461*C47</f>
        <v>#DIV/0!</v>
      </c>
      <c r="W461">
        <f t="shared" si="124"/>
        <v>0</v>
      </c>
      <c r="X461" t="e">
        <f t="shared" si="124"/>
        <v>#DIV/0!</v>
      </c>
      <c r="Y461" t="e">
        <f t="shared" si="124"/>
        <v>#DIV/0!</v>
      </c>
      <c r="Z461" t="e">
        <f t="shared" si="124"/>
        <v>#DIV/0!</v>
      </c>
      <c r="AA461">
        <f t="shared" si="124"/>
        <v>0</v>
      </c>
      <c r="AB461" t="e">
        <f t="shared" si="124"/>
        <v>#DIV/0!</v>
      </c>
      <c r="AC461">
        <f t="shared" si="124"/>
        <v>0</v>
      </c>
      <c r="AD461" t="e">
        <f t="shared" si="124"/>
        <v>#DIV/0!</v>
      </c>
      <c r="AE461">
        <f t="shared" si="124"/>
        <v>0</v>
      </c>
      <c r="AF461">
        <f t="shared" si="124"/>
        <v>0</v>
      </c>
      <c r="AG461">
        <f t="shared" si="124"/>
        <v>0</v>
      </c>
      <c r="AH461">
        <f t="shared" si="124"/>
        <v>0</v>
      </c>
      <c r="AI461">
        <f t="shared" si="124"/>
        <v>0</v>
      </c>
      <c r="AJ461">
        <f t="shared" si="124"/>
        <v>0</v>
      </c>
      <c r="AK461">
        <f t="shared" si="124"/>
        <v>0</v>
      </c>
      <c r="AL461">
        <f t="shared" si="124"/>
        <v>0</v>
      </c>
      <c r="AM461">
        <f t="shared" si="124"/>
        <v>0</v>
      </c>
      <c r="AO461">
        <v>570.1</v>
      </c>
      <c r="AP461">
        <f t="shared" si="119"/>
        <v>598</v>
      </c>
      <c r="AQ461" t="e">
        <f t="shared" si="100"/>
        <v>#DIV/0!</v>
      </c>
    </row>
    <row r="462" spans="1:43" x14ac:dyDescent="0.2">
      <c r="A462">
        <v>570.1</v>
      </c>
      <c r="B462">
        <f t="shared" si="117"/>
        <v>648</v>
      </c>
      <c r="V462" t="e">
        <f t="shared" ref="V462:AM462" si="125">C462*C48</f>
        <v>#DIV/0!</v>
      </c>
      <c r="W462">
        <f t="shared" si="125"/>
        <v>0</v>
      </c>
      <c r="X462" t="e">
        <f t="shared" si="125"/>
        <v>#DIV/0!</v>
      </c>
      <c r="Y462" t="e">
        <f t="shared" si="125"/>
        <v>#DIV/0!</v>
      </c>
      <c r="Z462" t="e">
        <f t="shared" si="125"/>
        <v>#DIV/0!</v>
      </c>
      <c r="AA462">
        <f t="shared" si="125"/>
        <v>0</v>
      </c>
      <c r="AB462" t="e">
        <f t="shared" si="125"/>
        <v>#DIV/0!</v>
      </c>
      <c r="AC462">
        <f t="shared" si="125"/>
        <v>0</v>
      </c>
      <c r="AD462" t="e">
        <f t="shared" si="125"/>
        <v>#DIV/0!</v>
      </c>
      <c r="AE462">
        <f t="shared" si="125"/>
        <v>0</v>
      </c>
      <c r="AF462">
        <f t="shared" si="125"/>
        <v>0</v>
      </c>
      <c r="AG462">
        <f t="shared" si="125"/>
        <v>0</v>
      </c>
      <c r="AH462">
        <f t="shared" si="125"/>
        <v>0</v>
      </c>
      <c r="AI462">
        <f t="shared" si="125"/>
        <v>0</v>
      </c>
      <c r="AJ462">
        <f t="shared" si="125"/>
        <v>0</v>
      </c>
      <c r="AK462">
        <f t="shared" si="125"/>
        <v>0</v>
      </c>
      <c r="AL462">
        <f t="shared" si="125"/>
        <v>0</v>
      </c>
      <c r="AM462">
        <f t="shared" si="125"/>
        <v>0</v>
      </c>
      <c r="AO462">
        <v>570.1</v>
      </c>
      <c r="AP462">
        <f t="shared" si="119"/>
        <v>648</v>
      </c>
      <c r="AQ462" t="e">
        <f t="shared" si="100"/>
        <v>#DIV/0!</v>
      </c>
    </row>
    <row r="463" spans="1:43" x14ac:dyDescent="0.2">
      <c r="A463">
        <v>570.1</v>
      </c>
      <c r="B463">
        <f t="shared" si="117"/>
        <v>698</v>
      </c>
      <c r="V463" t="e">
        <f t="shared" ref="V463:AM463" si="126">C463*C49</f>
        <v>#DIV/0!</v>
      </c>
      <c r="W463">
        <f t="shared" si="126"/>
        <v>0</v>
      </c>
      <c r="X463" t="e">
        <f t="shared" si="126"/>
        <v>#DIV/0!</v>
      </c>
      <c r="Y463" t="e">
        <f t="shared" si="126"/>
        <v>#DIV/0!</v>
      </c>
      <c r="Z463" t="e">
        <f t="shared" si="126"/>
        <v>#DIV/0!</v>
      </c>
      <c r="AA463">
        <f t="shared" si="126"/>
        <v>0</v>
      </c>
      <c r="AB463" t="e">
        <f t="shared" si="126"/>
        <v>#DIV/0!</v>
      </c>
      <c r="AC463">
        <f t="shared" si="126"/>
        <v>0</v>
      </c>
      <c r="AD463" t="e">
        <f t="shared" si="126"/>
        <v>#DIV/0!</v>
      </c>
      <c r="AE463">
        <f t="shared" si="126"/>
        <v>0</v>
      </c>
      <c r="AF463">
        <f t="shared" si="126"/>
        <v>0</v>
      </c>
      <c r="AG463">
        <f t="shared" si="126"/>
        <v>0</v>
      </c>
      <c r="AH463">
        <f t="shared" si="126"/>
        <v>0</v>
      </c>
      <c r="AI463">
        <f t="shared" si="126"/>
        <v>0</v>
      </c>
      <c r="AJ463">
        <f t="shared" si="126"/>
        <v>0</v>
      </c>
      <c r="AK463">
        <f t="shared" si="126"/>
        <v>0</v>
      </c>
      <c r="AL463">
        <f t="shared" si="126"/>
        <v>0</v>
      </c>
      <c r="AM463">
        <f t="shared" si="126"/>
        <v>0</v>
      </c>
      <c r="AO463">
        <v>570.1</v>
      </c>
      <c r="AP463">
        <f t="shared" si="119"/>
        <v>698</v>
      </c>
      <c r="AQ463" t="e">
        <f t="shared" si="100"/>
        <v>#DIV/0!</v>
      </c>
    </row>
    <row r="464" spans="1:43" x14ac:dyDescent="0.2">
      <c r="A464">
        <v>570.1</v>
      </c>
      <c r="B464">
        <f t="shared" si="117"/>
        <v>748</v>
      </c>
      <c r="V464" t="e">
        <f t="shared" ref="V464:AM464" si="127">C464*C50</f>
        <v>#DIV/0!</v>
      </c>
      <c r="W464">
        <f t="shared" si="127"/>
        <v>0</v>
      </c>
      <c r="X464" t="e">
        <f t="shared" si="127"/>
        <v>#DIV/0!</v>
      </c>
      <c r="Y464" t="e">
        <f t="shared" si="127"/>
        <v>#DIV/0!</v>
      </c>
      <c r="Z464" t="e">
        <f t="shared" si="127"/>
        <v>#DIV/0!</v>
      </c>
      <c r="AA464">
        <f t="shared" si="127"/>
        <v>0</v>
      </c>
      <c r="AB464" t="e">
        <f t="shared" si="127"/>
        <v>#DIV/0!</v>
      </c>
      <c r="AC464">
        <f t="shared" si="127"/>
        <v>0</v>
      </c>
      <c r="AD464" t="e">
        <f t="shared" si="127"/>
        <v>#DIV/0!</v>
      </c>
      <c r="AE464">
        <f t="shared" si="127"/>
        <v>0</v>
      </c>
      <c r="AF464">
        <f t="shared" si="127"/>
        <v>0</v>
      </c>
      <c r="AG464">
        <f t="shared" si="127"/>
        <v>0</v>
      </c>
      <c r="AH464">
        <f t="shared" si="127"/>
        <v>0</v>
      </c>
      <c r="AI464">
        <f t="shared" si="127"/>
        <v>0</v>
      </c>
      <c r="AJ464">
        <f t="shared" si="127"/>
        <v>0</v>
      </c>
      <c r="AK464">
        <f t="shared" si="127"/>
        <v>0</v>
      </c>
      <c r="AL464">
        <f t="shared" si="127"/>
        <v>0</v>
      </c>
      <c r="AM464">
        <f t="shared" si="127"/>
        <v>0</v>
      </c>
      <c r="AO464">
        <v>570.1</v>
      </c>
      <c r="AP464">
        <f t="shared" si="119"/>
        <v>748</v>
      </c>
      <c r="AQ464" t="e">
        <f t="shared" si="100"/>
        <v>#DIV/0!</v>
      </c>
    </row>
    <row r="465" spans="1:43" x14ac:dyDescent="0.2">
      <c r="A465">
        <v>570.1</v>
      </c>
      <c r="B465">
        <f t="shared" si="117"/>
        <v>798</v>
      </c>
      <c r="V465" t="e">
        <f t="shared" ref="V465:AM465" si="128">C465*C51</f>
        <v>#DIV/0!</v>
      </c>
      <c r="W465">
        <f t="shared" si="128"/>
        <v>0</v>
      </c>
      <c r="X465" t="e">
        <f t="shared" si="128"/>
        <v>#DIV/0!</v>
      </c>
      <c r="Y465" t="e">
        <f t="shared" si="128"/>
        <v>#DIV/0!</v>
      </c>
      <c r="Z465" t="e">
        <f t="shared" si="128"/>
        <v>#DIV/0!</v>
      </c>
      <c r="AA465">
        <f t="shared" si="128"/>
        <v>0</v>
      </c>
      <c r="AB465" t="e">
        <f t="shared" si="128"/>
        <v>#DIV/0!</v>
      </c>
      <c r="AC465">
        <f t="shared" si="128"/>
        <v>0</v>
      </c>
      <c r="AD465" t="e">
        <f t="shared" si="128"/>
        <v>#DIV/0!</v>
      </c>
      <c r="AE465">
        <f t="shared" si="128"/>
        <v>0</v>
      </c>
      <c r="AF465">
        <f t="shared" si="128"/>
        <v>0</v>
      </c>
      <c r="AG465">
        <f t="shared" si="128"/>
        <v>0</v>
      </c>
      <c r="AH465">
        <f t="shared" si="128"/>
        <v>0</v>
      </c>
      <c r="AI465">
        <f t="shared" si="128"/>
        <v>0</v>
      </c>
      <c r="AJ465">
        <f t="shared" si="128"/>
        <v>0</v>
      </c>
      <c r="AK465">
        <f t="shared" si="128"/>
        <v>0</v>
      </c>
      <c r="AL465">
        <f t="shared" si="128"/>
        <v>0</v>
      </c>
      <c r="AM465">
        <f t="shared" si="128"/>
        <v>0</v>
      </c>
      <c r="AO465">
        <v>570.1</v>
      </c>
      <c r="AP465">
        <f t="shared" si="119"/>
        <v>798</v>
      </c>
      <c r="AQ465" t="e">
        <f t="shared" si="100"/>
        <v>#DIV/0!</v>
      </c>
    </row>
    <row r="466" spans="1:43" x14ac:dyDescent="0.2">
      <c r="A466">
        <v>570.1</v>
      </c>
      <c r="B466">
        <f t="shared" si="117"/>
        <v>848</v>
      </c>
      <c r="V466" t="e">
        <f t="shared" ref="V466:AM466" si="129">C466*C52</f>
        <v>#DIV/0!</v>
      </c>
      <c r="W466">
        <f t="shared" si="129"/>
        <v>0</v>
      </c>
      <c r="X466" t="e">
        <f t="shared" si="129"/>
        <v>#DIV/0!</v>
      </c>
      <c r="Y466" t="e">
        <f t="shared" si="129"/>
        <v>#DIV/0!</v>
      </c>
      <c r="Z466" t="e">
        <f t="shared" si="129"/>
        <v>#DIV/0!</v>
      </c>
      <c r="AA466">
        <f t="shared" si="129"/>
        <v>0</v>
      </c>
      <c r="AB466" t="e">
        <f t="shared" si="129"/>
        <v>#DIV/0!</v>
      </c>
      <c r="AC466">
        <f t="shared" si="129"/>
        <v>0</v>
      </c>
      <c r="AD466" t="e">
        <f t="shared" si="129"/>
        <v>#DIV/0!</v>
      </c>
      <c r="AE466">
        <f t="shared" si="129"/>
        <v>0</v>
      </c>
      <c r="AF466">
        <f t="shared" si="129"/>
        <v>0</v>
      </c>
      <c r="AG466">
        <f t="shared" si="129"/>
        <v>0</v>
      </c>
      <c r="AH466">
        <f t="shared" si="129"/>
        <v>0</v>
      </c>
      <c r="AI466">
        <f t="shared" si="129"/>
        <v>0</v>
      </c>
      <c r="AJ466">
        <f t="shared" si="129"/>
        <v>0</v>
      </c>
      <c r="AK466">
        <f t="shared" si="129"/>
        <v>0</v>
      </c>
      <c r="AL466">
        <f t="shared" si="129"/>
        <v>0</v>
      </c>
      <c r="AM466">
        <f t="shared" si="129"/>
        <v>0</v>
      </c>
      <c r="AO466">
        <v>570.1</v>
      </c>
      <c r="AP466">
        <f t="shared" si="119"/>
        <v>848</v>
      </c>
      <c r="AQ466" t="e">
        <f t="shared" si="100"/>
        <v>#DIV/0!</v>
      </c>
    </row>
    <row r="467" spans="1:43" x14ac:dyDescent="0.2">
      <c r="A467">
        <v>570.1</v>
      </c>
      <c r="B467">
        <f t="shared" si="117"/>
        <v>898</v>
      </c>
      <c r="V467" t="e">
        <f t="shared" ref="V467:AM467" si="130">C467*C53</f>
        <v>#DIV/0!</v>
      </c>
      <c r="W467">
        <f t="shared" si="130"/>
        <v>0</v>
      </c>
      <c r="X467" t="e">
        <f t="shared" si="130"/>
        <v>#DIV/0!</v>
      </c>
      <c r="Y467" t="e">
        <f t="shared" si="130"/>
        <v>#DIV/0!</v>
      </c>
      <c r="Z467" t="e">
        <f t="shared" si="130"/>
        <v>#DIV/0!</v>
      </c>
      <c r="AA467">
        <f t="shared" si="130"/>
        <v>0</v>
      </c>
      <c r="AB467" t="e">
        <f t="shared" si="130"/>
        <v>#DIV/0!</v>
      </c>
      <c r="AC467">
        <f t="shared" si="130"/>
        <v>0</v>
      </c>
      <c r="AD467" t="e">
        <f t="shared" si="130"/>
        <v>#DIV/0!</v>
      </c>
      <c r="AE467">
        <f t="shared" si="130"/>
        <v>0</v>
      </c>
      <c r="AF467">
        <f t="shared" si="130"/>
        <v>0</v>
      </c>
      <c r="AG467">
        <f t="shared" si="130"/>
        <v>0</v>
      </c>
      <c r="AH467">
        <f t="shared" si="130"/>
        <v>0</v>
      </c>
      <c r="AI467">
        <f t="shared" si="130"/>
        <v>0</v>
      </c>
      <c r="AJ467">
        <f t="shared" si="130"/>
        <v>0</v>
      </c>
      <c r="AK467">
        <f t="shared" si="130"/>
        <v>0</v>
      </c>
      <c r="AL467">
        <f t="shared" si="130"/>
        <v>0</v>
      </c>
      <c r="AM467">
        <f t="shared" si="130"/>
        <v>0</v>
      </c>
      <c r="AO467">
        <v>570.1</v>
      </c>
      <c r="AP467">
        <f t="shared" si="119"/>
        <v>898</v>
      </c>
      <c r="AQ467" t="e">
        <f t="shared" si="100"/>
        <v>#DIV/0!</v>
      </c>
    </row>
    <row r="468" spans="1:43" x14ac:dyDescent="0.2">
      <c r="A468">
        <v>570.1</v>
      </c>
      <c r="B468">
        <f t="shared" si="117"/>
        <v>948</v>
      </c>
      <c r="V468" t="e">
        <f t="shared" ref="V468:AM468" si="131">C468*C54</f>
        <v>#DIV/0!</v>
      </c>
      <c r="W468">
        <f t="shared" si="131"/>
        <v>0</v>
      </c>
      <c r="X468" t="e">
        <f t="shared" si="131"/>
        <v>#DIV/0!</v>
      </c>
      <c r="Y468" t="e">
        <f t="shared" si="131"/>
        <v>#DIV/0!</v>
      </c>
      <c r="Z468" t="e">
        <f t="shared" si="131"/>
        <v>#DIV/0!</v>
      </c>
      <c r="AA468">
        <f t="shared" si="131"/>
        <v>0</v>
      </c>
      <c r="AB468" t="e">
        <f t="shared" si="131"/>
        <v>#DIV/0!</v>
      </c>
      <c r="AC468">
        <f t="shared" si="131"/>
        <v>0</v>
      </c>
      <c r="AD468" t="e">
        <f t="shared" si="131"/>
        <v>#DIV/0!</v>
      </c>
      <c r="AE468">
        <f t="shared" si="131"/>
        <v>0</v>
      </c>
      <c r="AF468">
        <f t="shared" si="131"/>
        <v>0</v>
      </c>
      <c r="AG468">
        <f t="shared" si="131"/>
        <v>0</v>
      </c>
      <c r="AH468">
        <f t="shared" si="131"/>
        <v>0</v>
      </c>
      <c r="AI468">
        <f t="shared" si="131"/>
        <v>0</v>
      </c>
      <c r="AJ468">
        <f t="shared" si="131"/>
        <v>0</v>
      </c>
      <c r="AK468">
        <f t="shared" si="131"/>
        <v>0</v>
      </c>
      <c r="AL468">
        <f t="shared" si="131"/>
        <v>0</v>
      </c>
      <c r="AM468">
        <f t="shared" si="131"/>
        <v>0</v>
      </c>
      <c r="AO468">
        <v>570.1</v>
      </c>
      <c r="AP468">
        <f t="shared" si="119"/>
        <v>948</v>
      </c>
      <c r="AQ468" t="e">
        <f t="shared" si="100"/>
        <v>#DIV/0!</v>
      </c>
    </row>
    <row r="469" spans="1:43" x14ac:dyDescent="0.2">
      <c r="A469">
        <v>1140.0999999999999</v>
      </c>
      <c r="B469">
        <v>298</v>
      </c>
      <c r="V469" t="e">
        <f t="shared" ref="V469:AM469" si="132">C469*C55</f>
        <v>#DIV/0!</v>
      </c>
      <c r="W469">
        <f t="shared" si="132"/>
        <v>0</v>
      </c>
      <c r="X469" t="e">
        <f t="shared" si="132"/>
        <v>#DIV/0!</v>
      </c>
      <c r="Y469" t="e">
        <f t="shared" si="132"/>
        <v>#DIV/0!</v>
      </c>
      <c r="Z469" t="e">
        <f t="shared" si="132"/>
        <v>#DIV/0!</v>
      </c>
      <c r="AA469">
        <f t="shared" si="132"/>
        <v>0</v>
      </c>
      <c r="AB469" t="e">
        <f t="shared" si="132"/>
        <v>#DIV/0!</v>
      </c>
      <c r="AC469">
        <f t="shared" si="132"/>
        <v>0</v>
      </c>
      <c r="AD469" t="e">
        <f t="shared" si="132"/>
        <v>#DIV/0!</v>
      </c>
      <c r="AE469">
        <f t="shared" si="132"/>
        <v>0</v>
      </c>
      <c r="AF469">
        <f t="shared" si="132"/>
        <v>0</v>
      </c>
      <c r="AG469">
        <f t="shared" si="132"/>
        <v>0</v>
      </c>
      <c r="AH469">
        <f t="shared" si="132"/>
        <v>0</v>
      </c>
      <c r="AI469">
        <f t="shared" si="132"/>
        <v>0</v>
      </c>
      <c r="AJ469">
        <f t="shared" si="132"/>
        <v>0</v>
      </c>
      <c r="AK469">
        <f t="shared" si="132"/>
        <v>0</v>
      </c>
      <c r="AL469">
        <f t="shared" si="132"/>
        <v>0</v>
      </c>
      <c r="AM469">
        <f t="shared" si="132"/>
        <v>0</v>
      </c>
      <c r="AO469">
        <v>1140.0999999999999</v>
      </c>
      <c r="AP469">
        <v>293</v>
      </c>
      <c r="AQ469" t="e">
        <f t="shared" si="100"/>
        <v>#DIV/0!</v>
      </c>
    </row>
    <row r="470" spans="1:43" x14ac:dyDescent="0.2">
      <c r="A470">
        <v>1140.0999999999999</v>
      </c>
      <c r="B470">
        <f t="shared" ref="B470:B482" si="133">B469+50</f>
        <v>348</v>
      </c>
      <c r="V470" t="e">
        <f t="shared" ref="V470:AM470" si="134">C470*C56</f>
        <v>#DIV/0!</v>
      </c>
      <c r="W470">
        <f t="shared" si="134"/>
        <v>0</v>
      </c>
      <c r="X470" t="e">
        <f t="shared" si="134"/>
        <v>#DIV/0!</v>
      </c>
      <c r="Y470" t="e">
        <f t="shared" si="134"/>
        <v>#DIV/0!</v>
      </c>
      <c r="Z470" t="e">
        <f t="shared" si="134"/>
        <v>#DIV/0!</v>
      </c>
      <c r="AA470">
        <f t="shared" si="134"/>
        <v>0</v>
      </c>
      <c r="AB470" t="e">
        <f t="shared" si="134"/>
        <v>#DIV/0!</v>
      </c>
      <c r="AC470">
        <f t="shared" si="134"/>
        <v>0</v>
      </c>
      <c r="AD470" t="e">
        <f t="shared" si="134"/>
        <v>#DIV/0!</v>
      </c>
      <c r="AE470">
        <f t="shared" si="134"/>
        <v>0</v>
      </c>
      <c r="AF470">
        <f t="shared" si="134"/>
        <v>0</v>
      </c>
      <c r="AG470">
        <f t="shared" si="134"/>
        <v>0</v>
      </c>
      <c r="AH470">
        <f t="shared" si="134"/>
        <v>0</v>
      </c>
      <c r="AI470">
        <f t="shared" si="134"/>
        <v>0</v>
      </c>
      <c r="AJ470">
        <f t="shared" si="134"/>
        <v>0</v>
      </c>
      <c r="AK470">
        <f t="shared" si="134"/>
        <v>0</v>
      </c>
      <c r="AL470">
        <f t="shared" si="134"/>
        <v>0</v>
      </c>
      <c r="AM470">
        <f t="shared" si="134"/>
        <v>0</v>
      </c>
      <c r="AO470">
        <v>1140.0999999999999</v>
      </c>
      <c r="AP470">
        <f t="shared" ref="AP470:AP482" si="135">AP469+50</f>
        <v>343</v>
      </c>
      <c r="AQ470" t="e">
        <f t="shared" si="100"/>
        <v>#DIV/0!</v>
      </c>
    </row>
    <row r="471" spans="1:43" x14ac:dyDescent="0.2">
      <c r="A471">
        <v>1140.0999999999999</v>
      </c>
      <c r="B471">
        <f t="shared" si="133"/>
        <v>398</v>
      </c>
      <c r="V471" t="e">
        <f t="shared" ref="V471:AM471" si="136">C471*C57</f>
        <v>#DIV/0!</v>
      </c>
      <c r="W471">
        <f t="shared" si="136"/>
        <v>0</v>
      </c>
      <c r="X471" t="e">
        <f t="shared" si="136"/>
        <v>#DIV/0!</v>
      </c>
      <c r="Y471" t="e">
        <f t="shared" si="136"/>
        <v>#DIV/0!</v>
      </c>
      <c r="Z471" t="e">
        <f t="shared" si="136"/>
        <v>#DIV/0!</v>
      </c>
      <c r="AA471">
        <f t="shared" si="136"/>
        <v>0</v>
      </c>
      <c r="AB471" t="e">
        <f t="shared" si="136"/>
        <v>#DIV/0!</v>
      </c>
      <c r="AC471">
        <f t="shared" si="136"/>
        <v>0</v>
      </c>
      <c r="AD471" t="e">
        <f t="shared" si="136"/>
        <v>#DIV/0!</v>
      </c>
      <c r="AE471">
        <f t="shared" si="136"/>
        <v>0</v>
      </c>
      <c r="AF471">
        <f t="shared" si="136"/>
        <v>0</v>
      </c>
      <c r="AG471">
        <f t="shared" si="136"/>
        <v>0</v>
      </c>
      <c r="AH471">
        <f t="shared" si="136"/>
        <v>0</v>
      </c>
      <c r="AI471">
        <f t="shared" si="136"/>
        <v>0</v>
      </c>
      <c r="AJ471">
        <f t="shared" si="136"/>
        <v>0</v>
      </c>
      <c r="AK471">
        <f t="shared" si="136"/>
        <v>0</v>
      </c>
      <c r="AL471">
        <f t="shared" si="136"/>
        <v>0</v>
      </c>
      <c r="AM471">
        <f t="shared" si="136"/>
        <v>0</v>
      </c>
      <c r="AO471">
        <v>1140.0999999999999</v>
      </c>
      <c r="AP471">
        <f t="shared" si="135"/>
        <v>393</v>
      </c>
      <c r="AQ471" t="e">
        <f t="shared" si="100"/>
        <v>#DIV/0!</v>
      </c>
    </row>
    <row r="472" spans="1:43" x14ac:dyDescent="0.2">
      <c r="A472">
        <v>1140.0999999999999</v>
      </c>
      <c r="B472">
        <f t="shared" si="133"/>
        <v>448</v>
      </c>
      <c r="V472" t="e">
        <f t="shared" ref="V472:AM472" si="137">C472*C58</f>
        <v>#DIV/0!</v>
      </c>
      <c r="W472">
        <f t="shared" si="137"/>
        <v>0</v>
      </c>
      <c r="X472" t="e">
        <f t="shared" si="137"/>
        <v>#DIV/0!</v>
      </c>
      <c r="Y472" t="e">
        <f t="shared" si="137"/>
        <v>#DIV/0!</v>
      </c>
      <c r="Z472" t="e">
        <f t="shared" si="137"/>
        <v>#DIV/0!</v>
      </c>
      <c r="AA472">
        <f t="shared" si="137"/>
        <v>0</v>
      </c>
      <c r="AB472" t="e">
        <f t="shared" si="137"/>
        <v>#DIV/0!</v>
      </c>
      <c r="AC472">
        <f t="shared" si="137"/>
        <v>0</v>
      </c>
      <c r="AD472" t="e">
        <f t="shared" si="137"/>
        <v>#DIV/0!</v>
      </c>
      <c r="AE472">
        <f t="shared" si="137"/>
        <v>0</v>
      </c>
      <c r="AF472">
        <f t="shared" si="137"/>
        <v>0</v>
      </c>
      <c r="AG472">
        <f t="shared" si="137"/>
        <v>0</v>
      </c>
      <c r="AH472">
        <f t="shared" si="137"/>
        <v>0</v>
      </c>
      <c r="AI472">
        <f t="shared" si="137"/>
        <v>0</v>
      </c>
      <c r="AJ472">
        <f t="shared" si="137"/>
        <v>0</v>
      </c>
      <c r="AK472">
        <f t="shared" si="137"/>
        <v>0</v>
      </c>
      <c r="AL472">
        <f t="shared" si="137"/>
        <v>0</v>
      </c>
      <c r="AM472">
        <f t="shared" si="137"/>
        <v>0</v>
      </c>
      <c r="AO472">
        <v>1140.0999999999999</v>
      </c>
      <c r="AP472">
        <f t="shared" si="135"/>
        <v>443</v>
      </c>
      <c r="AQ472" t="e">
        <f t="shared" si="100"/>
        <v>#DIV/0!</v>
      </c>
    </row>
    <row r="473" spans="1:43" x14ac:dyDescent="0.2">
      <c r="A473">
        <v>1140.0999999999999</v>
      </c>
      <c r="B473">
        <f t="shared" si="133"/>
        <v>498</v>
      </c>
      <c r="V473" t="e">
        <f t="shared" ref="V473:AM473" si="138">C473*C59</f>
        <v>#DIV/0!</v>
      </c>
      <c r="W473">
        <f t="shared" si="138"/>
        <v>0</v>
      </c>
      <c r="X473" t="e">
        <f t="shared" si="138"/>
        <v>#DIV/0!</v>
      </c>
      <c r="Y473" t="e">
        <f t="shared" si="138"/>
        <v>#DIV/0!</v>
      </c>
      <c r="Z473" t="e">
        <f t="shared" si="138"/>
        <v>#DIV/0!</v>
      </c>
      <c r="AA473">
        <f t="shared" si="138"/>
        <v>0</v>
      </c>
      <c r="AB473" t="e">
        <f t="shared" si="138"/>
        <v>#DIV/0!</v>
      </c>
      <c r="AC473">
        <f t="shared" si="138"/>
        <v>0</v>
      </c>
      <c r="AD473" t="e">
        <f t="shared" si="138"/>
        <v>#DIV/0!</v>
      </c>
      <c r="AE473">
        <f t="shared" si="138"/>
        <v>0</v>
      </c>
      <c r="AF473">
        <f t="shared" si="138"/>
        <v>0</v>
      </c>
      <c r="AG473">
        <f t="shared" si="138"/>
        <v>0</v>
      </c>
      <c r="AH473">
        <f t="shared" si="138"/>
        <v>0</v>
      </c>
      <c r="AI473">
        <f t="shared" si="138"/>
        <v>0</v>
      </c>
      <c r="AJ473">
        <f t="shared" si="138"/>
        <v>0</v>
      </c>
      <c r="AK473">
        <f t="shared" si="138"/>
        <v>0</v>
      </c>
      <c r="AL473">
        <f t="shared" si="138"/>
        <v>0</v>
      </c>
      <c r="AM473">
        <f t="shared" si="138"/>
        <v>0</v>
      </c>
      <c r="AO473">
        <v>1140.0999999999999</v>
      </c>
      <c r="AP473">
        <f t="shared" si="135"/>
        <v>493</v>
      </c>
      <c r="AQ473" t="e">
        <f t="shared" ref="AQ473:AQ496" si="139">SUM(V473:AM473)/$U59</f>
        <v>#DIV/0!</v>
      </c>
    </row>
    <row r="474" spans="1:43" x14ac:dyDescent="0.2">
      <c r="A474">
        <v>1140.0999999999999</v>
      </c>
      <c r="B474">
        <f t="shared" si="133"/>
        <v>548</v>
      </c>
      <c r="V474" t="e">
        <f t="shared" ref="V474:AM474" si="140">C474*C60</f>
        <v>#DIV/0!</v>
      </c>
      <c r="W474">
        <f t="shared" si="140"/>
        <v>0</v>
      </c>
      <c r="X474" t="e">
        <f t="shared" si="140"/>
        <v>#DIV/0!</v>
      </c>
      <c r="Y474" t="e">
        <f t="shared" si="140"/>
        <v>#DIV/0!</v>
      </c>
      <c r="Z474" t="e">
        <f t="shared" si="140"/>
        <v>#DIV/0!</v>
      </c>
      <c r="AA474">
        <f t="shared" si="140"/>
        <v>0</v>
      </c>
      <c r="AB474" t="e">
        <f t="shared" si="140"/>
        <v>#DIV/0!</v>
      </c>
      <c r="AC474">
        <f t="shared" si="140"/>
        <v>0</v>
      </c>
      <c r="AD474" t="e">
        <f t="shared" si="140"/>
        <v>#DIV/0!</v>
      </c>
      <c r="AE474">
        <f t="shared" si="140"/>
        <v>0</v>
      </c>
      <c r="AF474">
        <f t="shared" si="140"/>
        <v>0</v>
      </c>
      <c r="AG474">
        <f t="shared" si="140"/>
        <v>0</v>
      </c>
      <c r="AH474">
        <f t="shared" si="140"/>
        <v>0</v>
      </c>
      <c r="AI474">
        <f t="shared" si="140"/>
        <v>0</v>
      </c>
      <c r="AJ474">
        <f t="shared" si="140"/>
        <v>0</v>
      </c>
      <c r="AK474">
        <f t="shared" si="140"/>
        <v>0</v>
      </c>
      <c r="AL474">
        <f t="shared" si="140"/>
        <v>0</v>
      </c>
      <c r="AM474">
        <f t="shared" si="140"/>
        <v>0</v>
      </c>
      <c r="AO474">
        <v>1140.0999999999999</v>
      </c>
      <c r="AP474">
        <f t="shared" si="135"/>
        <v>543</v>
      </c>
      <c r="AQ474" t="e">
        <f t="shared" si="139"/>
        <v>#DIV/0!</v>
      </c>
    </row>
    <row r="475" spans="1:43" x14ac:dyDescent="0.2">
      <c r="A475">
        <v>1140.0999999999999</v>
      </c>
      <c r="B475">
        <f t="shared" si="133"/>
        <v>598</v>
      </c>
      <c r="V475" t="e">
        <f t="shared" ref="V475:AM475" si="141">C475*C61</f>
        <v>#DIV/0!</v>
      </c>
      <c r="W475">
        <f t="shared" si="141"/>
        <v>0</v>
      </c>
      <c r="X475" t="e">
        <f t="shared" si="141"/>
        <v>#DIV/0!</v>
      </c>
      <c r="Y475" t="e">
        <f t="shared" si="141"/>
        <v>#DIV/0!</v>
      </c>
      <c r="Z475" t="e">
        <f t="shared" si="141"/>
        <v>#DIV/0!</v>
      </c>
      <c r="AA475">
        <f t="shared" si="141"/>
        <v>0</v>
      </c>
      <c r="AB475" t="e">
        <f t="shared" si="141"/>
        <v>#DIV/0!</v>
      </c>
      <c r="AC475">
        <f t="shared" si="141"/>
        <v>0</v>
      </c>
      <c r="AD475" t="e">
        <f t="shared" si="141"/>
        <v>#DIV/0!</v>
      </c>
      <c r="AE475">
        <f t="shared" si="141"/>
        <v>0</v>
      </c>
      <c r="AF475">
        <f t="shared" si="141"/>
        <v>0</v>
      </c>
      <c r="AG475">
        <f t="shared" si="141"/>
        <v>0</v>
      </c>
      <c r="AH475">
        <f t="shared" si="141"/>
        <v>0</v>
      </c>
      <c r="AI475">
        <f t="shared" si="141"/>
        <v>0</v>
      </c>
      <c r="AJ475">
        <f t="shared" si="141"/>
        <v>0</v>
      </c>
      <c r="AK475">
        <f t="shared" si="141"/>
        <v>0</v>
      </c>
      <c r="AL475">
        <f t="shared" si="141"/>
        <v>0</v>
      </c>
      <c r="AM475">
        <f t="shared" si="141"/>
        <v>0</v>
      </c>
      <c r="AO475">
        <v>1140.0999999999999</v>
      </c>
      <c r="AP475">
        <f t="shared" si="135"/>
        <v>593</v>
      </c>
      <c r="AQ475" t="e">
        <f t="shared" si="139"/>
        <v>#DIV/0!</v>
      </c>
    </row>
    <row r="476" spans="1:43" x14ac:dyDescent="0.2">
      <c r="A476">
        <v>1140.0999999999999</v>
      </c>
      <c r="B476">
        <f t="shared" si="133"/>
        <v>648</v>
      </c>
      <c r="V476" t="e">
        <f t="shared" ref="V476:AM476" si="142">C476*C62</f>
        <v>#DIV/0!</v>
      </c>
      <c r="W476">
        <f t="shared" si="142"/>
        <v>0</v>
      </c>
      <c r="X476" t="e">
        <f t="shared" si="142"/>
        <v>#DIV/0!</v>
      </c>
      <c r="Y476" t="e">
        <f t="shared" si="142"/>
        <v>#DIV/0!</v>
      </c>
      <c r="Z476" t="e">
        <f t="shared" si="142"/>
        <v>#DIV/0!</v>
      </c>
      <c r="AA476">
        <f t="shared" si="142"/>
        <v>0</v>
      </c>
      <c r="AB476" t="e">
        <f t="shared" si="142"/>
        <v>#DIV/0!</v>
      </c>
      <c r="AC476">
        <f t="shared" si="142"/>
        <v>0</v>
      </c>
      <c r="AD476" t="e">
        <f t="shared" si="142"/>
        <v>#DIV/0!</v>
      </c>
      <c r="AE476">
        <f t="shared" si="142"/>
        <v>0</v>
      </c>
      <c r="AF476">
        <f t="shared" si="142"/>
        <v>0</v>
      </c>
      <c r="AG476">
        <f t="shared" si="142"/>
        <v>0</v>
      </c>
      <c r="AH476">
        <f t="shared" si="142"/>
        <v>0</v>
      </c>
      <c r="AI476">
        <f t="shared" si="142"/>
        <v>0</v>
      </c>
      <c r="AJ476">
        <f t="shared" si="142"/>
        <v>0</v>
      </c>
      <c r="AK476">
        <f t="shared" si="142"/>
        <v>0</v>
      </c>
      <c r="AL476">
        <f t="shared" si="142"/>
        <v>0</v>
      </c>
      <c r="AM476">
        <f t="shared" si="142"/>
        <v>0</v>
      </c>
      <c r="AO476">
        <v>1140.0999999999999</v>
      </c>
      <c r="AP476">
        <f t="shared" si="135"/>
        <v>643</v>
      </c>
      <c r="AQ476" t="e">
        <f t="shared" si="139"/>
        <v>#DIV/0!</v>
      </c>
    </row>
    <row r="477" spans="1:43" x14ac:dyDescent="0.2">
      <c r="A477">
        <v>1140.0999999999999</v>
      </c>
      <c r="B477">
        <f t="shared" si="133"/>
        <v>698</v>
      </c>
      <c r="V477" t="e">
        <f t="shared" ref="V477:AM477" si="143">C477*C63</f>
        <v>#DIV/0!</v>
      </c>
      <c r="W477">
        <f t="shared" si="143"/>
        <v>0</v>
      </c>
      <c r="X477" t="e">
        <f t="shared" si="143"/>
        <v>#DIV/0!</v>
      </c>
      <c r="Y477" t="e">
        <f t="shared" si="143"/>
        <v>#DIV/0!</v>
      </c>
      <c r="Z477" t="e">
        <f t="shared" si="143"/>
        <v>#DIV/0!</v>
      </c>
      <c r="AA477">
        <f t="shared" si="143"/>
        <v>0</v>
      </c>
      <c r="AB477" t="e">
        <f t="shared" si="143"/>
        <v>#DIV/0!</v>
      </c>
      <c r="AC477">
        <f t="shared" si="143"/>
        <v>0</v>
      </c>
      <c r="AD477" t="e">
        <f t="shared" si="143"/>
        <v>#DIV/0!</v>
      </c>
      <c r="AE477">
        <f t="shared" si="143"/>
        <v>0</v>
      </c>
      <c r="AF477">
        <f t="shared" si="143"/>
        <v>0</v>
      </c>
      <c r="AG477">
        <f t="shared" si="143"/>
        <v>0</v>
      </c>
      <c r="AH477">
        <f t="shared" si="143"/>
        <v>0</v>
      </c>
      <c r="AI477">
        <f t="shared" si="143"/>
        <v>0</v>
      </c>
      <c r="AJ477">
        <f t="shared" si="143"/>
        <v>0</v>
      </c>
      <c r="AK477">
        <f t="shared" si="143"/>
        <v>0</v>
      </c>
      <c r="AL477">
        <f t="shared" si="143"/>
        <v>0</v>
      </c>
      <c r="AM477">
        <f t="shared" si="143"/>
        <v>0</v>
      </c>
      <c r="AO477">
        <v>1140.0999999999999</v>
      </c>
      <c r="AP477">
        <f t="shared" si="135"/>
        <v>693</v>
      </c>
      <c r="AQ477" t="e">
        <f t="shared" si="139"/>
        <v>#DIV/0!</v>
      </c>
    </row>
    <row r="478" spans="1:43" x14ac:dyDescent="0.2">
      <c r="A478">
        <v>1140.0999999999999</v>
      </c>
      <c r="B478">
        <f t="shared" si="133"/>
        <v>748</v>
      </c>
      <c r="V478" t="e">
        <f t="shared" ref="V478:AM478" si="144">C478*C64</f>
        <v>#DIV/0!</v>
      </c>
      <c r="W478">
        <f t="shared" si="144"/>
        <v>0</v>
      </c>
      <c r="X478" t="e">
        <f t="shared" si="144"/>
        <v>#DIV/0!</v>
      </c>
      <c r="Y478" t="e">
        <f t="shared" si="144"/>
        <v>#DIV/0!</v>
      </c>
      <c r="Z478" t="e">
        <f t="shared" si="144"/>
        <v>#DIV/0!</v>
      </c>
      <c r="AA478">
        <f t="shared" si="144"/>
        <v>0</v>
      </c>
      <c r="AB478" t="e">
        <f t="shared" si="144"/>
        <v>#DIV/0!</v>
      </c>
      <c r="AC478">
        <f t="shared" si="144"/>
        <v>0</v>
      </c>
      <c r="AD478" t="e">
        <f t="shared" si="144"/>
        <v>#DIV/0!</v>
      </c>
      <c r="AE478">
        <f t="shared" si="144"/>
        <v>0</v>
      </c>
      <c r="AF478">
        <f t="shared" si="144"/>
        <v>0</v>
      </c>
      <c r="AG478">
        <f t="shared" si="144"/>
        <v>0</v>
      </c>
      <c r="AH478">
        <f t="shared" si="144"/>
        <v>0</v>
      </c>
      <c r="AI478">
        <f t="shared" si="144"/>
        <v>0</v>
      </c>
      <c r="AJ478">
        <f t="shared" si="144"/>
        <v>0</v>
      </c>
      <c r="AK478">
        <f t="shared" si="144"/>
        <v>0</v>
      </c>
      <c r="AL478">
        <f t="shared" si="144"/>
        <v>0</v>
      </c>
      <c r="AM478">
        <f t="shared" si="144"/>
        <v>0</v>
      </c>
      <c r="AO478">
        <v>1140.0999999999999</v>
      </c>
      <c r="AP478">
        <f t="shared" si="135"/>
        <v>743</v>
      </c>
      <c r="AQ478" t="e">
        <f t="shared" si="139"/>
        <v>#DIV/0!</v>
      </c>
    </row>
    <row r="479" spans="1:43" x14ac:dyDescent="0.2">
      <c r="A479">
        <v>1140.0999999999999</v>
      </c>
      <c r="B479">
        <f t="shared" si="133"/>
        <v>798</v>
      </c>
      <c r="V479" t="e">
        <f t="shared" ref="V479:AM479" si="145">C479*C65</f>
        <v>#DIV/0!</v>
      </c>
      <c r="W479">
        <f t="shared" si="145"/>
        <v>0</v>
      </c>
      <c r="X479" t="e">
        <f t="shared" si="145"/>
        <v>#DIV/0!</v>
      </c>
      <c r="Y479" t="e">
        <f t="shared" si="145"/>
        <v>#DIV/0!</v>
      </c>
      <c r="Z479" t="e">
        <f t="shared" si="145"/>
        <v>#DIV/0!</v>
      </c>
      <c r="AA479">
        <f t="shared" si="145"/>
        <v>0</v>
      </c>
      <c r="AB479" t="e">
        <f t="shared" si="145"/>
        <v>#DIV/0!</v>
      </c>
      <c r="AC479">
        <f t="shared" si="145"/>
        <v>0</v>
      </c>
      <c r="AD479" t="e">
        <f t="shared" si="145"/>
        <v>#DIV/0!</v>
      </c>
      <c r="AE479">
        <f t="shared" si="145"/>
        <v>0</v>
      </c>
      <c r="AF479">
        <f t="shared" si="145"/>
        <v>0</v>
      </c>
      <c r="AG479">
        <f t="shared" si="145"/>
        <v>0</v>
      </c>
      <c r="AH479">
        <f t="shared" si="145"/>
        <v>0</v>
      </c>
      <c r="AI479">
        <f t="shared" si="145"/>
        <v>0</v>
      </c>
      <c r="AJ479">
        <f t="shared" si="145"/>
        <v>0</v>
      </c>
      <c r="AK479">
        <f t="shared" si="145"/>
        <v>0</v>
      </c>
      <c r="AL479">
        <f t="shared" si="145"/>
        <v>0</v>
      </c>
      <c r="AM479">
        <f t="shared" si="145"/>
        <v>0</v>
      </c>
      <c r="AO479">
        <v>1140.0999999999999</v>
      </c>
      <c r="AP479">
        <f t="shared" si="135"/>
        <v>793</v>
      </c>
      <c r="AQ479" t="e">
        <f t="shared" si="139"/>
        <v>#DIV/0!</v>
      </c>
    </row>
    <row r="480" spans="1:43" x14ac:dyDescent="0.2">
      <c r="A480">
        <v>1140.0999999999999</v>
      </c>
      <c r="B480">
        <f t="shared" si="133"/>
        <v>848</v>
      </c>
      <c r="V480" t="e">
        <f t="shared" ref="V480:AM480" si="146">C480*C66</f>
        <v>#DIV/0!</v>
      </c>
      <c r="W480">
        <f t="shared" si="146"/>
        <v>0</v>
      </c>
      <c r="X480" t="e">
        <f t="shared" si="146"/>
        <v>#DIV/0!</v>
      </c>
      <c r="Y480" t="e">
        <f t="shared" si="146"/>
        <v>#DIV/0!</v>
      </c>
      <c r="Z480" t="e">
        <f t="shared" si="146"/>
        <v>#DIV/0!</v>
      </c>
      <c r="AA480">
        <f t="shared" si="146"/>
        <v>0</v>
      </c>
      <c r="AB480" t="e">
        <f t="shared" si="146"/>
        <v>#DIV/0!</v>
      </c>
      <c r="AC480">
        <f t="shared" si="146"/>
        <v>0</v>
      </c>
      <c r="AD480" t="e">
        <f t="shared" si="146"/>
        <v>#DIV/0!</v>
      </c>
      <c r="AE480">
        <f t="shared" si="146"/>
        <v>0</v>
      </c>
      <c r="AF480">
        <f t="shared" si="146"/>
        <v>0</v>
      </c>
      <c r="AG480">
        <f t="shared" si="146"/>
        <v>0</v>
      </c>
      <c r="AH480">
        <f t="shared" si="146"/>
        <v>0</v>
      </c>
      <c r="AI480">
        <f t="shared" si="146"/>
        <v>0</v>
      </c>
      <c r="AJ480">
        <f t="shared" si="146"/>
        <v>0</v>
      </c>
      <c r="AK480">
        <f t="shared" si="146"/>
        <v>0</v>
      </c>
      <c r="AL480">
        <f t="shared" si="146"/>
        <v>0</v>
      </c>
      <c r="AM480">
        <f t="shared" si="146"/>
        <v>0</v>
      </c>
      <c r="AO480">
        <v>1140.0999999999999</v>
      </c>
      <c r="AP480">
        <f t="shared" si="135"/>
        <v>843</v>
      </c>
      <c r="AQ480" t="e">
        <f t="shared" si="139"/>
        <v>#DIV/0!</v>
      </c>
    </row>
    <row r="481" spans="1:43" x14ac:dyDescent="0.2">
      <c r="A481">
        <v>1140.0999999999999</v>
      </c>
      <c r="B481">
        <f t="shared" si="133"/>
        <v>898</v>
      </c>
      <c r="V481" t="e">
        <f t="shared" ref="V481:AM481" si="147">C481*C67</f>
        <v>#DIV/0!</v>
      </c>
      <c r="W481">
        <f t="shared" si="147"/>
        <v>0</v>
      </c>
      <c r="X481" t="e">
        <f t="shared" si="147"/>
        <v>#DIV/0!</v>
      </c>
      <c r="Y481" t="e">
        <f t="shared" si="147"/>
        <v>#DIV/0!</v>
      </c>
      <c r="Z481" t="e">
        <f t="shared" si="147"/>
        <v>#DIV/0!</v>
      </c>
      <c r="AA481">
        <f t="shared" si="147"/>
        <v>0</v>
      </c>
      <c r="AB481" t="e">
        <f t="shared" si="147"/>
        <v>#DIV/0!</v>
      </c>
      <c r="AC481">
        <f t="shared" si="147"/>
        <v>0</v>
      </c>
      <c r="AD481" t="e">
        <f t="shared" si="147"/>
        <v>#DIV/0!</v>
      </c>
      <c r="AE481">
        <f t="shared" si="147"/>
        <v>0</v>
      </c>
      <c r="AF481">
        <f t="shared" si="147"/>
        <v>0</v>
      </c>
      <c r="AG481">
        <f t="shared" si="147"/>
        <v>0</v>
      </c>
      <c r="AH481">
        <f t="shared" si="147"/>
        <v>0</v>
      </c>
      <c r="AI481">
        <f t="shared" si="147"/>
        <v>0</v>
      </c>
      <c r="AJ481">
        <f t="shared" si="147"/>
        <v>0</v>
      </c>
      <c r="AK481">
        <f t="shared" si="147"/>
        <v>0</v>
      </c>
      <c r="AL481">
        <f t="shared" si="147"/>
        <v>0</v>
      </c>
      <c r="AM481">
        <f t="shared" si="147"/>
        <v>0</v>
      </c>
      <c r="AO481">
        <v>1140.0999999999999</v>
      </c>
      <c r="AP481">
        <f t="shared" si="135"/>
        <v>893</v>
      </c>
      <c r="AQ481" t="e">
        <f t="shared" si="139"/>
        <v>#DIV/0!</v>
      </c>
    </row>
    <row r="482" spans="1:43" x14ac:dyDescent="0.2">
      <c r="A482">
        <v>1140.0999999999999</v>
      </c>
      <c r="B482">
        <f t="shared" si="133"/>
        <v>948</v>
      </c>
      <c r="V482" t="e">
        <f t="shared" ref="V482:AM482" si="148">C482*C68</f>
        <v>#DIV/0!</v>
      </c>
      <c r="W482">
        <f t="shared" si="148"/>
        <v>0</v>
      </c>
      <c r="X482" t="e">
        <f t="shared" si="148"/>
        <v>#DIV/0!</v>
      </c>
      <c r="Y482" t="e">
        <f t="shared" si="148"/>
        <v>#DIV/0!</v>
      </c>
      <c r="Z482" t="e">
        <f t="shared" si="148"/>
        <v>#DIV/0!</v>
      </c>
      <c r="AA482">
        <f t="shared" si="148"/>
        <v>0</v>
      </c>
      <c r="AB482" t="e">
        <f t="shared" si="148"/>
        <v>#DIV/0!</v>
      </c>
      <c r="AC482">
        <f t="shared" si="148"/>
        <v>0</v>
      </c>
      <c r="AD482" t="e">
        <f t="shared" si="148"/>
        <v>#DIV/0!</v>
      </c>
      <c r="AE482">
        <f t="shared" si="148"/>
        <v>0</v>
      </c>
      <c r="AF482">
        <f t="shared" si="148"/>
        <v>0</v>
      </c>
      <c r="AG482">
        <f t="shared" si="148"/>
        <v>0</v>
      </c>
      <c r="AH482">
        <f t="shared" si="148"/>
        <v>0</v>
      </c>
      <c r="AI482">
        <f t="shared" si="148"/>
        <v>0</v>
      </c>
      <c r="AJ482">
        <f t="shared" si="148"/>
        <v>0</v>
      </c>
      <c r="AK482">
        <f t="shared" si="148"/>
        <v>0</v>
      </c>
      <c r="AL482">
        <f t="shared" si="148"/>
        <v>0</v>
      </c>
      <c r="AM482">
        <f t="shared" si="148"/>
        <v>0</v>
      </c>
      <c r="AO482">
        <v>1140.0999999999999</v>
      </c>
      <c r="AP482">
        <f t="shared" si="135"/>
        <v>943</v>
      </c>
      <c r="AQ482" t="e">
        <f t="shared" si="139"/>
        <v>#DIV/0!</v>
      </c>
    </row>
    <row r="483" spans="1:43" x14ac:dyDescent="0.2">
      <c r="A483">
        <v>1711.1</v>
      </c>
      <c r="B483">
        <v>298</v>
      </c>
      <c r="V483" t="e">
        <f t="shared" ref="V483:AM483" si="149">C483*C69</f>
        <v>#DIV/0!</v>
      </c>
      <c r="W483">
        <f t="shared" si="149"/>
        <v>0</v>
      </c>
      <c r="X483" t="e">
        <f t="shared" si="149"/>
        <v>#DIV/0!</v>
      </c>
      <c r="Y483" t="e">
        <f t="shared" si="149"/>
        <v>#DIV/0!</v>
      </c>
      <c r="Z483" t="e">
        <f t="shared" si="149"/>
        <v>#DIV/0!</v>
      </c>
      <c r="AA483">
        <f t="shared" si="149"/>
        <v>0</v>
      </c>
      <c r="AB483" t="e">
        <f t="shared" si="149"/>
        <v>#DIV/0!</v>
      </c>
      <c r="AC483">
        <f t="shared" si="149"/>
        <v>0</v>
      </c>
      <c r="AD483" t="e">
        <f t="shared" si="149"/>
        <v>#DIV/0!</v>
      </c>
      <c r="AE483">
        <f t="shared" si="149"/>
        <v>0</v>
      </c>
      <c r="AF483">
        <f t="shared" si="149"/>
        <v>0</v>
      </c>
      <c r="AG483">
        <f t="shared" si="149"/>
        <v>0</v>
      </c>
      <c r="AH483">
        <f t="shared" si="149"/>
        <v>0</v>
      </c>
      <c r="AI483">
        <f t="shared" si="149"/>
        <v>0</v>
      </c>
      <c r="AJ483">
        <f t="shared" si="149"/>
        <v>0</v>
      </c>
      <c r="AK483">
        <f t="shared" si="149"/>
        <v>0</v>
      </c>
      <c r="AL483">
        <f t="shared" si="149"/>
        <v>0</v>
      </c>
      <c r="AM483">
        <f t="shared" si="149"/>
        <v>0</v>
      </c>
      <c r="AO483">
        <v>1711.1</v>
      </c>
      <c r="AP483">
        <v>293</v>
      </c>
      <c r="AQ483" t="e">
        <f t="shared" si="139"/>
        <v>#DIV/0!</v>
      </c>
    </row>
    <row r="484" spans="1:43" x14ac:dyDescent="0.2">
      <c r="A484">
        <v>1711.1</v>
      </c>
      <c r="B484">
        <f t="shared" ref="B484:B496" si="150">B483+50</f>
        <v>348</v>
      </c>
      <c r="V484" t="e">
        <f t="shared" ref="V484:AM484" si="151">C484*C70</f>
        <v>#DIV/0!</v>
      </c>
      <c r="W484">
        <f t="shared" si="151"/>
        <v>0</v>
      </c>
      <c r="X484" t="e">
        <f t="shared" si="151"/>
        <v>#DIV/0!</v>
      </c>
      <c r="Y484" t="e">
        <f t="shared" si="151"/>
        <v>#DIV/0!</v>
      </c>
      <c r="Z484" t="e">
        <f t="shared" si="151"/>
        <v>#DIV/0!</v>
      </c>
      <c r="AA484">
        <f t="shared" si="151"/>
        <v>0</v>
      </c>
      <c r="AB484" t="e">
        <f t="shared" si="151"/>
        <v>#DIV/0!</v>
      </c>
      <c r="AC484">
        <f t="shared" si="151"/>
        <v>0</v>
      </c>
      <c r="AD484" t="e">
        <f t="shared" si="151"/>
        <v>#DIV/0!</v>
      </c>
      <c r="AE484">
        <f t="shared" si="151"/>
        <v>0</v>
      </c>
      <c r="AF484">
        <f t="shared" si="151"/>
        <v>0</v>
      </c>
      <c r="AG484">
        <f t="shared" si="151"/>
        <v>0</v>
      </c>
      <c r="AH484">
        <f t="shared" si="151"/>
        <v>0</v>
      </c>
      <c r="AI484">
        <f t="shared" si="151"/>
        <v>0</v>
      </c>
      <c r="AJ484">
        <f t="shared" si="151"/>
        <v>0</v>
      </c>
      <c r="AK484">
        <f t="shared" si="151"/>
        <v>0</v>
      </c>
      <c r="AL484">
        <f t="shared" si="151"/>
        <v>0</v>
      </c>
      <c r="AM484">
        <f t="shared" si="151"/>
        <v>0</v>
      </c>
      <c r="AO484">
        <v>1711.1</v>
      </c>
      <c r="AP484">
        <f t="shared" ref="AP484:AP496" si="152">AP483+50</f>
        <v>343</v>
      </c>
      <c r="AQ484" t="e">
        <f t="shared" si="139"/>
        <v>#DIV/0!</v>
      </c>
    </row>
    <row r="485" spans="1:43" x14ac:dyDescent="0.2">
      <c r="A485">
        <v>1711.1</v>
      </c>
      <c r="B485">
        <f t="shared" si="150"/>
        <v>398</v>
      </c>
      <c r="V485" t="e">
        <f t="shared" ref="V485:AM485" si="153">C485*C71</f>
        <v>#DIV/0!</v>
      </c>
      <c r="W485">
        <f t="shared" si="153"/>
        <v>0</v>
      </c>
      <c r="X485" t="e">
        <f t="shared" si="153"/>
        <v>#DIV/0!</v>
      </c>
      <c r="Y485" t="e">
        <f t="shared" si="153"/>
        <v>#DIV/0!</v>
      </c>
      <c r="Z485" t="e">
        <f t="shared" si="153"/>
        <v>#DIV/0!</v>
      </c>
      <c r="AA485">
        <f t="shared" si="153"/>
        <v>0</v>
      </c>
      <c r="AB485" t="e">
        <f t="shared" si="153"/>
        <v>#DIV/0!</v>
      </c>
      <c r="AC485">
        <f t="shared" si="153"/>
        <v>0</v>
      </c>
      <c r="AD485" t="e">
        <f t="shared" si="153"/>
        <v>#DIV/0!</v>
      </c>
      <c r="AE485">
        <f t="shared" si="153"/>
        <v>0</v>
      </c>
      <c r="AF485">
        <f t="shared" si="153"/>
        <v>0</v>
      </c>
      <c r="AG485">
        <f t="shared" si="153"/>
        <v>0</v>
      </c>
      <c r="AH485">
        <f t="shared" si="153"/>
        <v>0</v>
      </c>
      <c r="AI485">
        <f t="shared" si="153"/>
        <v>0</v>
      </c>
      <c r="AJ485">
        <f t="shared" si="153"/>
        <v>0</v>
      </c>
      <c r="AK485">
        <f t="shared" si="153"/>
        <v>0</v>
      </c>
      <c r="AL485">
        <f t="shared" si="153"/>
        <v>0</v>
      </c>
      <c r="AM485">
        <f t="shared" si="153"/>
        <v>0</v>
      </c>
      <c r="AO485">
        <v>1711.1</v>
      </c>
      <c r="AP485">
        <f t="shared" si="152"/>
        <v>393</v>
      </c>
      <c r="AQ485" t="e">
        <f t="shared" si="139"/>
        <v>#DIV/0!</v>
      </c>
    </row>
    <row r="486" spans="1:43" x14ac:dyDescent="0.2">
      <c r="A486">
        <v>1711.1</v>
      </c>
      <c r="B486">
        <f t="shared" si="150"/>
        <v>448</v>
      </c>
      <c r="V486" t="e">
        <f t="shared" ref="V486:AM486" si="154">C486*C72</f>
        <v>#DIV/0!</v>
      </c>
      <c r="W486">
        <f t="shared" si="154"/>
        <v>0</v>
      </c>
      <c r="X486" t="e">
        <f t="shared" si="154"/>
        <v>#DIV/0!</v>
      </c>
      <c r="Y486" t="e">
        <f t="shared" si="154"/>
        <v>#DIV/0!</v>
      </c>
      <c r="Z486" t="e">
        <f t="shared" si="154"/>
        <v>#DIV/0!</v>
      </c>
      <c r="AA486">
        <f t="shared" si="154"/>
        <v>0</v>
      </c>
      <c r="AB486" t="e">
        <f t="shared" si="154"/>
        <v>#DIV/0!</v>
      </c>
      <c r="AC486">
        <f t="shared" si="154"/>
        <v>0</v>
      </c>
      <c r="AD486" t="e">
        <f t="shared" si="154"/>
        <v>#DIV/0!</v>
      </c>
      <c r="AE486">
        <f t="shared" si="154"/>
        <v>0</v>
      </c>
      <c r="AF486">
        <f t="shared" si="154"/>
        <v>0</v>
      </c>
      <c r="AG486">
        <f t="shared" si="154"/>
        <v>0</v>
      </c>
      <c r="AH486">
        <f t="shared" si="154"/>
        <v>0</v>
      </c>
      <c r="AI486">
        <f t="shared" si="154"/>
        <v>0</v>
      </c>
      <c r="AJ486">
        <f t="shared" si="154"/>
        <v>0</v>
      </c>
      <c r="AK486">
        <f t="shared" si="154"/>
        <v>0</v>
      </c>
      <c r="AL486">
        <f t="shared" si="154"/>
        <v>0</v>
      </c>
      <c r="AM486">
        <f t="shared" si="154"/>
        <v>0</v>
      </c>
      <c r="AO486">
        <v>1711.1</v>
      </c>
      <c r="AP486">
        <f t="shared" si="152"/>
        <v>443</v>
      </c>
      <c r="AQ486" t="e">
        <f t="shared" si="139"/>
        <v>#DIV/0!</v>
      </c>
    </row>
    <row r="487" spans="1:43" x14ac:dyDescent="0.2">
      <c r="A487">
        <v>1711.1</v>
      </c>
      <c r="B487">
        <f t="shared" si="150"/>
        <v>498</v>
      </c>
      <c r="V487" t="e">
        <f t="shared" ref="V487:AM487" si="155">C487*C73</f>
        <v>#DIV/0!</v>
      </c>
      <c r="W487">
        <f t="shared" si="155"/>
        <v>0</v>
      </c>
      <c r="X487" t="e">
        <f t="shared" si="155"/>
        <v>#DIV/0!</v>
      </c>
      <c r="Y487" t="e">
        <f t="shared" si="155"/>
        <v>#DIV/0!</v>
      </c>
      <c r="Z487" t="e">
        <f t="shared" si="155"/>
        <v>#DIV/0!</v>
      </c>
      <c r="AA487">
        <f t="shared" si="155"/>
        <v>0</v>
      </c>
      <c r="AB487" t="e">
        <f t="shared" si="155"/>
        <v>#DIV/0!</v>
      </c>
      <c r="AC487">
        <f t="shared" si="155"/>
        <v>0</v>
      </c>
      <c r="AD487" t="e">
        <f t="shared" si="155"/>
        <v>#DIV/0!</v>
      </c>
      <c r="AE487">
        <f t="shared" si="155"/>
        <v>0</v>
      </c>
      <c r="AF487">
        <f t="shared" si="155"/>
        <v>0</v>
      </c>
      <c r="AG487">
        <f t="shared" si="155"/>
        <v>0</v>
      </c>
      <c r="AH487">
        <f t="shared" si="155"/>
        <v>0</v>
      </c>
      <c r="AI487">
        <f t="shared" si="155"/>
        <v>0</v>
      </c>
      <c r="AJ487">
        <f t="shared" si="155"/>
        <v>0</v>
      </c>
      <c r="AK487">
        <f t="shared" si="155"/>
        <v>0</v>
      </c>
      <c r="AL487">
        <f t="shared" si="155"/>
        <v>0</v>
      </c>
      <c r="AM487">
        <f t="shared" si="155"/>
        <v>0</v>
      </c>
      <c r="AO487">
        <v>1711.1</v>
      </c>
      <c r="AP487">
        <f t="shared" si="152"/>
        <v>493</v>
      </c>
      <c r="AQ487" t="e">
        <f t="shared" si="139"/>
        <v>#DIV/0!</v>
      </c>
    </row>
    <row r="488" spans="1:43" x14ac:dyDescent="0.2">
      <c r="A488">
        <v>1711.1</v>
      </c>
      <c r="B488">
        <f t="shared" si="150"/>
        <v>548</v>
      </c>
      <c r="V488" t="e">
        <f t="shared" ref="V488:AM488" si="156">C488*C74</f>
        <v>#DIV/0!</v>
      </c>
      <c r="W488">
        <f t="shared" si="156"/>
        <v>0</v>
      </c>
      <c r="X488" t="e">
        <f t="shared" si="156"/>
        <v>#DIV/0!</v>
      </c>
      <c r="Y488" t="e">
        <f t="shared" si="156"/>
        <v>#DIV/0!</v>
      </c>
      <c r="Z488" t="e">
        <f t="shared" si="156"/>
        <v>#DIV/0!</v>
      </c>
      <c r="AA488">
        <f t="shared" si="156"/>
        <v>0</v>
      </c>
      <c r="AB488" t="e">
        <f t="shared" si="156"/>
        <v>#DIV/0!</v>
      </c>
      <c r="AC488">
        <f t="shared" si="156"/>
        <v>0</v>
      </c>
      <c r="AD488" t="e">
        <f t="shared" si="156"/>
        <v>#DIV/0!</v>
      </c>
      <c r="AE488">
        <f t="shared" si="156"/>
        <v>0</v>
      </c>
      <c r="AF488">
        <f t="shared" si="156"/>
        <v>0</v>
      </c>
      <c r="AG488">
        <f t="shared" si="156"/>
        <v>0</v>
      </c>
      <c r="AH488">
        <f t="shared" si="156"/>
        <v>0</v>
      </c>
      <c r="AI488">
        <f t="shared" si="156"/>
        <v>0</v>
      </c>
      <c r="AJ488">
        <f t="shared" si="156"/>
        <v>0</v>
      </c>
      <c r="AK488">
        <f t="shared" si="156"/>
        <v>0</v>
      </c>
      <c r="AL488">
        <f t="shared" si="156"/>
        <v>0</v>
      </c>
      <c r="AM488">
        <f t="shared" si="156"/>
        <v>0</v>
      </c>
      <c r="AO488">
        <v>1711.1</v>
      </c>
      <c r="AP488">
        <f t="shared" si="152"/>
        <v>543</v>
      </c>
      <c r="AQ488" t="e">
        <f t="shared" si="139"/>
        <v>#DIV/0!</v>
      </c>
    </row>
    <row r="489" spans="1:43" x14ac:dyDescent="0.2">
      <c r="A489">
        <v>1711.1</v>
      </c>
      <c r="B489">
        <f t="shared" si="150"/>
        <v>598</v>
      </c>
      <c r="V489" t="e">
        <f t="shared" ref="V489:AM489" si="157">C489*C75</f>
        <v>#DIV/0!</v>
      </c>
      <c r="W489">
        <f t="shared" si="157"/>
        <v>0</v>
      </c>
      <c r="X489" t="e">
        <f t="shared" si="157"/>
        <v>#DIV/0!</v>
      </c>
      <c r="Y489" t="e">
        <f t="shared" si="157"/>
        <v>#DIV/0!</v>
      </c>
      <c r="Z489" t="e">
        <f t="shared" si="157"/>
        <v>#DIV/0!</v>
      </c>
      <c r="AA489">
        <f t="shared" si="157"/>
        <v>0</v>
      </c>
      <c r="AB489" t="e">
        <f t="shared" si="157"/>
        <v>#DIV/0!</v>
      </c>
      <c r="AC489">
        <f t="shared" si="157"/>
        <v>0</v>
      </c>
      <c r="AD489" t="e">
        <f t="shared" si="157"/>
        <v>#DIV/0!</v>
      </c>
      <c r="AE489">
        <f t="shared" si="157"/>
        <v>0</v>
      </c>
      <c r="AF489">
        <f t="shared" si="157"/>
        <v>0</v>
      </c>
      <c r="AG489">
        <f t="shared" si="157"/>
        <v>0</v>
      </c>
      <c r="AH489">
        <f t="shared" si="157"/>
        <v>0</v>
      </c>
      <c r="AI489">
        <f t="shared" si="157"/>
        <v>0</v>
      </c>
      <c r="AJ489">
        <f t="shared" si="157"/>
        <v>0</v>
      </c>
      <c r="AK489">
        <f t="shared" si="157"/>
        <v>0</v>
      </c>
      <c r="AL489">
        <f t="shared" si="157"/>
        <v>0</v>
      </c>
      <c r="AM489">
        <f t="shared" si="157"/>
        <v>0</v>
      </c>
      <c r="AO489">
        <v>1711.1</v>
      </c>
      <c r="AP489">
        <f t="shared" si="152"/>
        <v>593</v>
      </c>
      <c r="AQ489" t="e">
        <f t="shared" si="139"/>
        <v>#DIV/0!</v>
      </c>
    </row>
    <row r="490" spans="1:43" x14ac:dyDescent="0.2">
      <c r="A490">
        <v>1711.1</v>
      </c>
      <c r="B490">
        <f t="shared" si="150"/>
        <v>648</v>
      </c>
      <c r="V490" t="e">
        <f t="shared" ref="V490:AM490" si="158">C490*C76</f>
        <v>#DIV/0!</v>
      </c>
      <c r="W490">
        <f t="shared" si="158"/>
        <v>0</v>
      </c>
      <c r="X490" t="e">
        <f t="shared" si="158"/>
        <v>#DIV/0!</v>
      </c>
      <c r="Y490" t="e">
        <f t="shared" si="158"/>
        <v>#DIV/0!</v>
      </c>
      <c r="Z490" t="e">
        <f t="shared" si="158"/>
        <v>#DIV/0!</v>
      </c>
      <c r="AA490">
        <f t="shared" si="158"/>
        <v>0</v>
      </c>
      <c r="AB490" t="e">
        <f t="shared" si="158"/>
        <v>#DIV/0!</v>
      </c>
      <c r="AC490">
        <f t="shared" si="158"/>
        <v>0</v>
      </c>
      <c r="AD490" t="e">
        <f t="shared" si="158"/>
        <v>#DIV/0!</v>
      </c>
      <c r="AE490">
        <f t="shared" si="158"/>
        <v>0</v>
      </c>
      <c r="AF490">
        <f t="shared" si="158"/>
        <v>0</v>
      </c>
      <c r="AG490">
        <f t="shared" si="158"/>
        <v>0</v>
      </c>
      <c r="AH490">
        <f t="shared" si="158"/>
        <v>0</v>
      </c>
      <c r="AI490">
        <f t="shared" si="158"/>
        <v>0</v>
      </c>
      <c r="AJ490">
        <f t="shared" si="158"/>
        <v>0</v>
      </c>
      <c r="AK490">
        <f t="shared" si="158"/>
        <v>0</v>
      </c>
      <c r="AL490">
        <f t="shared" si="158"/>
        <v>0</v>
      </c>
      <c r="AM490">
        <f t="shared" si="158"/>
        <v>0</v>
      </c>
      <c r="AO490">
        <v>1711.1</v>
      </c>
      <c r="AP490">
        <f t="shared" si="152"/>
        <v>643</v>
      </c>
      <c r="AQ490" t="e">
        <f t="shared" si="139"/>
        <v>#DIV/0!</v>
      </c>
    </row>
    <row r="491" spans="1:43" x14ac:dyDescent="0.2">
      <c r="A491">
        <v>1711.1</v>
      </c>
      <c r="B491">
        <f t="shared" si="150"/>
        <v>698</v>
      </c>
      <c r="V491" t="e">
        <f t="shared" ref="V491:AM491" si="159">C491*C77</f>
        <v>#DIV/0!</v>
      </c>
      <c r="W491">
        <f t="shared" si="159"/>
        <v>0</v>
      </c>
      <c r="X491" t="e">
        <f t="shared" si="159"/>
        <v>#DIV/0!</v>
      </c>
      <c r="Y491" t="e">
        <f t="shared" si="159"/>
        <v>#DIV/0!</v>
      </c>
      <c r="Z491" t="e">
        <f t="shared" si="159"/>
        <v>#DIV/0!</v>
      </c>
      <c r="AA491">
        <f t="shared" si="159"/>
        <v>0</v>
      </c>
      <c r="AB491" t="e">
        <f t="shared" si="159"/>
        <v>#DIV/0!</v>
      </c>
      <c r="AC491">
        <f t="shared" si="159"/>
        <v>0</v>
      </c>
      <c r="AD491" t="e">
        <f t="shared" si="159"/>
        <v>#DIV/0!</v>
      </c>
      <c r="AE491">
        <f t="shared" si="159"/>
        <v>0</v>
      </c>
      <c r="AF491">
        <f t="shared" si="159"/>
        <v>0</v>
      </c>
      <c r="AG491">
        <f t="shared" si="159"/>
        <v>0</v>
      </c>
      <c r="AH491">
        <f t="shared" si="159"/>
        <v>0</v>
      </c>
      <c r="AI491">
        <f t="shared" si="159"/>
        <v>0</v>
      </c>
      <c r="AJ491">
        <f t="shared" si="159"/>
        <v>0</v>
      </c>
      <c r="AK491">
        <f t="shared" si="159"/>
        <v>0</v>
      </c>
      <c r="AL491">
        <f t="shared" si="159"/>
        <v>0</v>
      </c>
      <c r="AM491">
        <f t="shared" si="159"/>
        <v>0</v>
      </c>
      <c r="AO491">
        <v>1711.1</v>
      </c>
      <c r="AP491">
        <f t="shared" si="152"/>
        <v>693</v>
      </c>
      <c r="AQ491" t="e">
        <f t="shared" si="139"/>
        <v>#DIV/0!</v>
      </c>
    </row>
    <row r="492" spans="1:43" x14ac:dyDescent="0.2">
      <c r="A492">
        <v>1711.1</v>
      </c>
      <c r="B492">
        <f t="shared" si="150"/>
        <v>748</v>
      </c>
      <c r="V492" t="e">
        <f t="shared" ref="V492:AM492" si="160">C492*C78</f>
        <v>#DIV/0!</v>
      </c>
      <c r="W492">
        <f t="shared" si="160"/>
        <v>0</v>
      </c>
      <c r="X492" t="e">
        <f t="shared" si="160"/>
        <v>#DIV/0!</v>
      </c>
      <c r="Y492" t="e">
        <f t="shared" si="160"/>
        <v>#DIV/0!</v>
      </c>
      <c r="Z492" t="e">
        <f t="shared" si="160"/>
        <v>#DIV/0!</v>
      </c>
      <c r="AA492">
        <f t="shared" si="160"/>
        <v>0</v>
      </c>
      <c r="AB492" t="e">
        <f t="shared" si="160"/>
        <v>#DIV/0!</v>
      </c>
      <c r="AC492">
        <f t="shared" si="160"/>
        <v>0</v>
      </c>
      <c r="AD492" t="e">
        <f t="shared" si="160"/>
        <v>#DIV/0!</v>
      </c>
      <c r="AE492">
        <f t="shared" si="160"/>
        <v>0</v>
      </c>
      <c r="AF492">
        <f t="shared" si="160"/>
        <v>0</v>
      </c>
      <c r="AG492">
        <f t="shared" si="160"/>
        <v>0</v>
      </c>
      <c r="AH492">
        <f t="shared" si="160"/>
        <v>0</v>
      </c>
      <c r="AI492">
        <f t="shared" si="160"/>
        <v>0</v>
      </c>
      <c r="AJ492">
        <f t="shared" si="160"/>
        <v>0</v>
      </c>
      <c r="AK492">
        <f t="shared" si="160"/>
        <v>0</v>
      </c>
      <c r="AL492">
        <f t="shared" si="160"/>
        <v>0</v>
      </c>
      <c r="AM492">
        <f t="shared" si="160"/>
        <v>0</v>
      </c>
      <c r="AO492">
        <v>1711.1</v>
      </c>
      <c r="AP492">
        <f t="shared" si="152"/>
        <v>743</v>
      </c>
      <c r="AQ492" t="e">
        <f t="shared" si="139"/>
        <v>#DIV/0!</v>
      </c>
    </row>
    <row r="493" spans="1:43" x14ac:dyDescent="0.2">
      <c r="A493">
        <v>1711.1</v>
      </c>
      <c r="B493">
        <f t="shared" si="150"/>
        <v>798</v>
      </c>
      <c r="V493" t="e">
        <f t="shared" ref="V493:AM493" si="161">C493*C79</f>
        <v>#DIV/0!</v>
      </c>
      <c r="W493">
        <f t="shared" si="161"/>
        <v>0</v>
      </c>
      <c r="X493" t="e">
        <f t="shared" si="161"/>
        <v>#DIV/0!</v>
      </c>
      <c r="Y493" t="e">
        <f t="shared" si="161"/>
        <v>#DIV/0!</v>
      </c>
      <c r="Z493" t="e">
        <f t="shared" si="161"/>
        <v>#DIV/0!</v>
      </c>
      <c r="AA493">
        <f t="shared" si="161"/>
        <v>0</v>
      </c>
      <c r="AB493" t="e">
        <f t="shared" si="161"/>
        <v>#DIV/0!</v>
      </c>
      <c r="AC493">
        <f t="shared" si="161"/>
        <v>0</v>
      </c>
      <c r="AD493" t="e">
        <f t="shared" si="161"/>
        <v>#DIV/0!</v>
      </c>
      <c r="AE493">
        <f t="shared" si="161"/>
        <v>0</v>
      </c>
      <c r="AF493">
        <f t="shared" si="161"/>
        <v>0</v>
      </c>
      <c r="AG493">
        <f t="shared" si="161"/>
        <v>0</v>
      </c>
      <c r="AH493">
        <f t="shared" si="161"/>
        <v>0</v>
      </c>
      <c r="AI493">
        <f t="shared" si="161"/>
        <v>0</v>
      </c>
      <c r="AJ493">
        <f t="shared" si="161"/>
        <v>0</v>
      </c>
      <c r="AK493">
        <f t="shared" si="161"/>
        <v>0</v>
      </c>
      <c r="AL493">
        <f t="shared" si="161"/>
        <v>0</v>
      </c>
      <c r="AM493">
        <f t="shared" si="161"/>
        <v>0</v>
      </c>
      <c r="AO493">
        <v>1711.1</v>
      </c>
      <c r="AP493">
        <f t="shared" si="152"/>
        <v>793</v>
      </c>
      <c r="AQ493" t="e">
        <f t="shared" si="139"/>
        <v>#DIV/0!</v>
      </c>
    </row>
    <row r="494" spans="1:43" x14ac:dyDescent="0.2">
      <c r="A494">
        <v>1711.1</v>
      </c>
      <c r="B494">
        <f t="shared" si="150"/>
        <v>848</v>
      </c>
      <c r="V494" t="e">
        <f t="shared" ref="V494:AM494" si="162">C494*C80</f>
        <v>#DIV/0!</v>
      </c>
      <c r="W494">
        <f t="shared" si="162"/>
        <v>0</v>
      </c>
      <c r="X494" t="e">
        <f t="shared" si="162"/>
        <v>#DIV/0!</v>
      </c>
      <c r="Y494" t="e">
        <f t="shared" si="162"/>
        <v>#DIV/0!</v>
      </c>
      <c r="Z494" t="e">
        <f t="shared" si="162"/>
        <v>#DIV/0!</v>
      </c>
      <c r="AA494">
        <f t="shared" si="162"/>
        <v>0</v>
      </c>
      <c r="AB494" t="e">
        <f t="shared" si="162"/>
        <v>#DIV/0!</v>
      </c>
      <c r="AC494">
        <f t="shared" si="162"/>
        <v>0</v>
      </c>
      <c r="AD494" t="e">
        <f t="shared" si="162"/>
        <v>#DIV/0!</v>
      </c>
      <c r="AE494">
        <f t="shared" si="162"/>
        <v>0</v>
      </c>
      <c r="AF494">
        <f t="shared" si="162"/>
        <v>0</v>
      </c>
      <c r="AG494">
        <f t="shared" si="162"/>
        <v>0</v>
      </c>
      <c r="AH494">
        <f t="shared" si="162"/>
        <v>0</v>
      </c>
      <c r="AI494">
        <f t="shared" si="162"/>
        <v>0</v>
      </c>
      <c r="AJ494">
        <f t="shared" si="162"/>
        <v>0</v>
      </c>
      <c r="AK494">
        <f t="shared" si="162"/>
        <v>0</v>
      </c>
      <c r="AL494">
        <f t="shared" si="162"/>
        <v>0</v>
      </c>
      <c r="AM494">
        <f t="shared" si="162"/>
        <v>0</v>
      </c>
      <c r="AO494">
        <v>1711.1</v>
      </c>
      <c r="AP494">
        <f t="shared" si="152"/>
        <v>843</v>
      </c>
      <c r="AQ494" t="e">
        <f t="shared" si="139"/>
        <v>#DIV/0!</v>
      </c>
    </row>
    <row r="495" spans="1:43" x14ac:dyDescent="0.2">
      <c r="A495">
        <v>1711.1</v>
      </c>
      <c r="B495">
        <f t="shared" si="150"/>
        <v>898</v>
      </c>
      <c r="V495" t="e">
        <f t="shared" ref="V495:AM495" si="163">C495*C81</f>
        <v>#DIV/0!</v>
      </c>
      <c r="W495">
        <f t="shared" si="163"/>
        <v>0</v>
      </c>
      <c r="X495" t="e">
        <f t="shared" si="163"/>
        <v>#DIV/0!</v>
      </c>
      <c r="Y495" t="e">
        <f t="shared" si="163"/>
        <v>#DIV/0!</v>
      </c>
      <c r="Z495" t="e">
        <f t="shared" si="163"/>
        <v>#DIV/0!</v>
      </c>
      <c r="AA495">
        <f t="shared" si="163"/>
        <v>0</v>
      </c>
      <c r="AB495" t="e">
        <f t="shared" si="163"/>
        <v>#DIV/0!</v>
      </c>
      <c r="AC495">
        <f t="shared" si="163"/>
        <v>0</v>
      </c>
      <c r="AD495" t="e">
        <f t="shared" si="163"/>
        <v>#DIV/0!</v>
      </c>
      <c r="AE495">
        <f t="shared" si="163"/>
        <v>0</v>
      </c>
      <c r="AF495">
        <f t="shared" si="163"/>
        <v>0</v>
      </c>
      <c r="AG495">
        <f t="shared" si="163"/>
        <v>0</v>
      </c>
      <c r="AH495">
        <f t="shared" si="163"/>
        <v>0</v>
      </c>
      <c r="AI495">
        <f t="shared" si="163"/>
        <v>0</v>
      </c>
      <c r="AJ495">
        <f t="shared" si="163"/>
        <v>0</v>
      </c>
      <c r="AK495">
        <f t="shared" si="163"/>
        <v>0</v>
      </c>
      <c r="AL495">
        <f t="shared" si="163"/>
        <v>0</v>
      </c>
      <c r="AM495">
        <f t="shared" si="163"/>
        <v>0</v>
      </c>
      <c r="AO495">
        <v>1711.1</v>
      </c>
      <c r="AP495">
        <f t="shared" si="152"/>
        <v>893</v>
      </c>
      <c r="AQ495" t="e">
        <f t="shared" si="139"/>
        <v>#DIV/0!</v>
      </c>
    </row>
    <row r="496" spans="1:43" x14ac:dyDescent="0.2">
      <c r="A496">
        <v>1711.1</v>
      </c>
      <c r="B496">
        <f t="shared" si="150"/>
        <v>948</v>
      </c>
      <c r="V496" t="e">
        <f t="shared" ref="V496:AM496" si="164">C496*C82</f>
        <v>#DIV/0!</v>
      </c>
      <c r="W496">
        <f t="shared" si="164"/>
        <v>0</v>
      </c>
      <c r="X496" t="e">
        <f t="shared" si="164"/>
        <v>#DIV/0!</v>
      </c>
      <c r="Y496" t="e">
        <f t="shared" si="164"/>
        <v>#DIV/0!</v>
      </c>
      <c r="Z496" t="e">
        <f t="shared" si="164"/>
        <v>#DIV/0!</v>
      </c>
      <c r="AA496">
        <f t="shared" si="164"/>
        <v>0</v>
      </c>
      <c r="AB496" t="e">
        <f t="shared" si="164"/>
        <v>#DIV/0!</v>
      </c>
      <c r="AC496">
        <f t="shared" si="164"/>
        <v>0</v>
      </c>
      <c r="AD496" t="e">
        <f t="shared" si="164"/>
        <v>#DIV/0!</v>
      </c>
      <c r="AE496">
        <f t="shared" si="164"/>
        <v>0</v>
      </c>
      <c r="AF496">
        <f t="shared" si="164"/>
        <v>0</v>
      </c>
      <c r="AG496">
        <f t="shared" si="164"/>
        <v>0</v>
      </c>
      <c r="AH496">
        <f t="shared" si="164"/>
        <v>0</v>
      </c>
      <c r="AI496">
        <f t="shared" si="164"/>
        <v>0</v>
      </c>
      <c r="AJ496">
        <f t="shared" si="164"/>
        <v>0</v>
      </c>
      <c r="AK496">
        <f t="shared" si="164"/>
        <v>0</v>
      </c>
      <c r="AL496">
        <f t="shared" si="164"/>
        <v>0</v>
      </c>
      <c r="AM496">
        <f t="shared" si="164"/>
        <v>0</v>
      </c>
      <c r="AO496">
        <v>1711.1</v>
      </c>
      <c r="AP496">
        <f t="shared" si="152"/>
        <v>943</v>
      </c>
      <c r="AQ496" t="e">
        <f t="shared" si="139"/>
        <v>#DIV/0!</v>
      </c>
    </row>
    <row r="498" spans="1:43" ht="20" x14ac:dyDescent="0.25">
      <c r="A498" s="1" t="s">
        <v>113</v>
      </c>
      <c r="B498" s="63" t="s">
        <v>80</v>
      </c>
      <c r="C498" s="63"/>
      <c r="D498" s="63"/>
      <c r="E498" s="63"/>
      <c r="F498" s="63"/>
      <c r="G498" s="63"/>
      <c r="H498" s="63"/>
      <c r="I498" s="63"/>
      <c r="J498" s="63"/>
      <c r="K498" s="63"/>
      <c r="L498" s="63"/>
      <c r="M498" s="63"/>
      <c r="N498" s="63"/>
      <c r="O498" s="63"/>
      <c r="P498" s="63"/>
      <c r="Q498" s="63"/>
      <c r="R498" s="63"/>
      <c r="S498" s="63"/>
      <c r="T498" s="63"/>
      <c r="V498" s="63" t="s">
        <v>67</v>
      </c>
      <c r="W498" s="63"/>
      <c r="X498" s="63"/>
      <c r="Y498" s="63"/>
      <c r="Z498" s="63"/>
      <c r="AA498" s="63"/>
      <c r="AB498" s="63"/>
      <c r="AC498" s="63"/>
      <c r="AD498" s="63"/>
      <c r="AE498" s="63"/>
      <c r="AF498" s="63"/>
      <c r="AG498" s="63"/>
      <c r="AH498" s="63"/>
      <c r="AI498" s="63"/>
      <c r="AJ498" s="63"/>
      <c r="AK498" s="63"/>
      <c r="AL498" s="63"/>
      <c r="AM498" s="63"/>
      <c r="AO498" s="63" t="s">
        <v>68</v>
      </c>
      <c r="AP498" s="63"/>
      <c r="AQ498" s="63"/>
    </row>
    <row r="499" spans="1:43" ht="19" thickBot="1" x14ac:dyDescent="0.25">
      <c r="A499" s="32" t="s">
        <v>96</v>
      </c>
      <c r="B499" s="32" t="s">
        <v>97</v>
      </c>
      <c r="C499" s="13" t="s">
        <v>0</v>
      </c>
      <c r="D499" s="13" t="s">
        <v>1</v>
      </c>
      <c r="E499" s="13" t="s">
        <v>2</v>
      </c>
      <c r="F499" s="13" t="s">
        <v>3</v>
      </c>
      <c r="G499" s="13" t="s">
        <v>4</v>
      </c>
      <c r="H499" s="13" t="s">
        <v>5</v>
      </c>
      <c r="I499" s="13" t="s">
        <v>6</v>
      </c>
      <c r="J499" s="13" t="s">
        <v>7</v>
      </c>
      <c r="K499" s="13" t="s">
        <v>8</v>
      </c>
      <c r="L499" s="13" t="s">
        <v>9</v>
      </c>
      <c r="M499" s="13" t="s">
        <v>10</v>
      </c>
      <c r="N499" s="13" t="s">
        <v>11</v>
      </c>
      <c r="O499" s="13" t="s">
        <v>12</v>
      </c>
      <c r="P499" s="13" t="s">
        <v>13</v>
      </c>
      <c r="Q499" s="13" t="s">
        <v>14</v>
      </c>
      <c r="R499" s="13" t="s">
        <v>15</v>
      </c>
      <c r="S499" s="13" t="s">
        <v>16</v>
      </c>
      <c r="T499" s="13" t="s">
        <v>17</v>
      </c>
      <c r="V499" s="13" t="s">
        <v>0</v>
      </c>
      <c r="W499" s="13" t="s">
        <v>1</v>
      </c>
      <c r="X499" s="13" t="s">
        <v>2</v>
      </c>
      <c r="Y499" s="13" t="s">
        <v>3</v>
      </c>
      <c r="Z499" s="13" t="s">
        <v>4</v>
      </c>
      <c r="AA499" s="13" t="s">
        <v>5</v>
      </c>
      <c r="AB499" s="13" t="s">
        <v>6</v>
      </c>
      <c r="AC499" s="13" t="s">
        <v>7</v>
      </c>
      <c r="AD499" s="13" t="s">
        <v>8</v>
      </c>
      <c r="AE499" s="13" t="s">
        <v>9</v>
      </c>
      <c r="AF499" s="13" t="s">
        <v>10</v>
      </c>
      <c r="AG499" s="13" t="s">
        <v>11</v>
      </c>
      <c r="AH499" s="13" t="s">
        <v>12</v>
      </c>
      <c r="AI499" s="13" t="s">
        <v>13</v>
      </c>
      <c r="AJ499" s="13" t="s">
        <v>14</v>
      </c>
      <c r="AK499" s="13" t="s">
        <v>15</v>
      </c>
      <c r="AL499" s="13" t="s">
        <v>16</v>
      </c>
      <c r="AM499" s="13" t="s">
        <v>17</v>
      </c>
      <c r="AO499" s="35" t="s">
        <v>64</v>
      </c>
      <c r="AP499" s="35" t="s">
        <v>65</v>
      </c>
      <c r="AQ499" s="38" t="s">
        <v>73</v>
      </c>
    </row>
    <row r="500" spans="1:43" x14ac:dyDescent="0.2">
      <c r="A500">
        <v>0.1</v>
      </c>
      <c r="B500">
        <v>298</v>
      </c>
      <c r="AO500">
        <v>0.1</v>
      </c>
      <c r="AP500">
        <v>298</v>
      </c>
      <c r="AQ500" s="40"/>
    </row>
    <row r="501" spans="1:43" x14ac:dyDescent="0.2">
      <c r="A501">
        <v>0.1</v>
      </c>
      <c r="B501">
        <f t="shared" ref="B501:B513" si="165">B500+50</f>
        <v>348</v>
      </c>
      <c r="AO501">
        <v>0.1</v>
      </c>
      <c r="AP501">
        <f t="shared" ref="AP501:AP513" si="166">AP500+50</f>
        <v>348</v>
      </c>
      <c r="AQ501" s="40"/>
    </row>
    <row r="502" spans="1:43" x14ac:dyDescent="0.2">
      <c r="A502">
        <v>0.1</v>
      </c>
      <c r="B502">
        <f t="shared" si="165"/>
        <v>398</v>
      </c>
      <c r="AO502">
        <v>0.1</v>
      </c>
      <c r="AP502">
        <f t="shared" si="166"/>
        <v>398</v>
      </c>
      <c r="AQ502" s="40"/>
    </row>
    <row r="503" spans="1:43" x14ac:dyDescent="0.2">
      <c r="A503">
        <v>0.1</v>
      </c>
      <c r="B503">
        <f t="shared" si="165"/>
        <v>448</v>
      </c>
      <c r="AO503">
        <v>0.1</v>
      </c>
      <c r="AP503">
        <f t="shared" si="166"/>
        <v>448</v>
      </c>
      <c r="AQ503" s="40"/>
    </row>
    <row r="504" spans="1:43" x14ac:dyDescent="0.2">
      <c r="A504">
        <v>0.1</v>
      </c>
      <c r="B504">
        <f t="shared" si="165"/>
        <v>498</v>
      </c>
      <c r="AO504">
        <v>0.1</v>
      </c>
      <c r="AP504">
        <f t="shared" si="166"/>
        <v>498</v>
      </c>
      <c r="AQ504" s="40"/>
    </row>
    <row r="505" spans="1:43" x14ac:dyDescent="0.2">
      <c r="A505">
        <v>0.1</v>
      </c>
      <c r="B505">
        <f t="shared" si="165"/>
        <v>548</v>
      </c>
      <c r="AO505">
        <v>0.1</v>
      </c>
      <c r="AP505">
        <f t="shared" si="166"/>
        <v>548</v>
      </c>
      <c r="AQ505" s="40"/>
    </row>
    <row r="506" spans="1:43" x14ac:dyDescent="0.2">
      <c r="A506">
        <v>0.1</v>
      </c>
      <c r="B506">
        <f t="shared" si="165"/>
        <v>598</v>
      </c>
      <c r="AO506">
        <v>0.1</v>
      </c>
      <c r="AP506">
        <f t="shared" si="166"/>
        <v>598</v>
      </c>
      <c r="AQ506" s="40"/>
    </row>
    <row r="507" spans="1:43" x14ac:dyDescent="0.2">
      <c r="A507">
        <v>0.1</v>
      </c>
      <c r="B507">
        <f t="shared" si="165"/>
        <v>648</v>
      </c>
      <c r="AO507">
        <v>0.1</v>
      </c>
      <c r="AP507">
        <f t="shared" si="166"/>
        <v>648</v>
      </c>
      <c r="AQ507" s="40"/>
    </row>
    <row r="508" spans="1:43" x14ac:dyDescent="0.2">
      <c r="A508">
        <v>0.1</v>
      </c>
      <c r="B508">
        <f t="shared" si="165"/>
        <v>698</v>
      </c>
      <c r="AO508">
        <v>0.1</v>
      </c>
      <c r="AP508">
        <f t="shared" si="166"/>
        <v>698</v>
      </c>
      <c r="AQ508" s="40"/>
    </row>
    <row r="509" spans="1:43" x14ac:dyDescent="0.2">
      <c r="A509">
        <v>0.1</v>
      </c>
      <c r="B509">
        <f t="shared" si="165"/>
        <v>748</v>
      </c>
      <c r="AO509">
        <v>0.1</v>
      </c>
      <c r="AP509">
        <f t="shared" si="166"/>
        <v>748</v>
      </c>
      <c r="AQ509" s="40"/>
    </row>
    <row r="510" spans="1:43" x14ac:dyDescent="0.2">
      <c r="A510">
        <v>0.1</v>
      </c>
      <c r="B510">
        <f t="shared" si="165"/>
        <v>798</v>
      </c>
      <c r="AO510">
        <v>0.1</v>
      </c>
      <c r="AP510">
        <f t="shared" si="166"/>
        <v>798</v>
      </c>
      <c r="AQ510" s="40"/>
    </row>
    <row r="511" spans="1:43" x14ac:dyDescent="0.2">
      <c r="A511">
        <v>0.1</v>
      </c>
      <c r="B511">
        <f t="shared" si="165"/>
        <v>848</v>
      </c>
      <c r="AO511">
        <v>0.1</v>
      </c>
      <c r="AP511">
        <f t="shared" si="166"/>
        <v>848</v>
      </c>
      <c r="AQ511" s="40"/>
    </row>
    <row r="512" spans="1:43" x14ac:dyDescent="0.2">
      <c r="A512">
        <v>0.1</v>
      </c>
      <c r="B512">
        <f t="shared" si="165"/>
        <v>898</v>
      </c>
      <c r="AO512">
        <v>0.1</v>
      </c>
      <c r="AP512">
        <f t="shared" si="166"/>
        <v>898</v>
      </c>
      <c r="AQ512" s="40"/>
    </row>
    <row r="513" spans="1:43" x14ac:dyDescent="0.2">
      <c r="A513">
        <v>0.1</v>
      </c>
      <c r="B513">
        <f t="shared" si="165"/>
        <v>948</v>
      </c>
      <c r="AO513">
        <v>0.1</v>
      </c>
      <c r="AP513">
        <f t="shared" si="166"/>
        <v>948</v>
      </c>
      <c r="AQ513" s="40"/>
    </row>
    <row r="514" spans="1:43" x14ac:dyDescent="0.2">
      <c r="A514">
        <v>570.1</v>
      </c>
      <c r="B514">
        <v>298</v>
      </c>
      <c r="AO514">
        <v>570.1</v>
      </c>
      <c r="AP514">
        <v>298</v>
      </c>
      <c r="AQ514" s="40"/>
    </row>
    <row r="515" spans="1:43" x14ac:dyDescent="0.2">
      <c r="A515">
        <v>570.1</v>
      </c>
      <c r="B515">
        <f t="shared" ref="B515:B527" si="167">B514+50</f>
        <v>348</v>
      </c>
      <c r="AO515">
        <v>570.1</v>
      </c>
      <c r="AP515">
        <f t="shared" ref="AP515:AP527" si="168">AP514+50</f>
        <v>348</v>
      </c>
      <c r="AQ515" s="40"/>
    </row>
    <row r="516" spans="1:43" x14ac:dyDescent="0.2">
      <c r="A516">
        <v>570.1</v>
      </c>
      <c r="B516">
        <f t="shared" si="167"/>
        <v>398</v>
      </c>
      <c r="AO516">
        <v>570.1</v>
      </c>
      <c r="AP516">
        <f t="shared" si="168"/>
        <v>398</v>
      </c>
      <c r="AQ516" s="40"/>
    </row>
    <row r="517" spans="1:43" x14ac:dyDescent="0.2">
      <c r="A517">
        <v>570.1</v>
      </c>
      <c r="B517">
        <f t="shared" si="167"/>
        <v>448</v>
      </c>
      <c r="AO517">
        <v>570.1</v>
      </c>
      <c r="AP517">
        <f t="shared" si="168"/>
        <v>448</v>
      </c>
      <c r="AQ517" s="40"/>
    </row>
    <row r="518" spans="1:43" x14ac:dyDescent="0.2">
      <c r="A518">
        <v>570.1</v>
      </c>
      <c r="B518">
        <f t="shared" si="167"/>
        <v>498</v>
      </c>
      <c r="AO518">
        <v>570.1</v>
      </c>
      <c r="AP518">
        <f t="shared" si="168"/>
        <v>498</v>
      </c>
      <c r="AQ518" s="40"/>
    </row>
    <row r="519" spans="1:43" x14ac:dyDescent="0.2">
      <c r="A519">
        <v>570.1</v>
      </c>
      <c r="B519">
        <f t="shared" si="167"/>
        <v>548</v>
      </c>
      <c r="AO519">
        <v>570.1</v>
      </c>
      <c r="AP519">
        <f t="shared" si="168"/>
        <v>548</v>
      </c>
      <c r="AQ519" s="40"/>
    </row>
    <row r="520" spans="1:43" x14ac:dyDescent="0.2">
      <c r="A520">
        <v>570.1</v>
      </c>
      <c r="B520">
        <f t="shared" si="167"/>
        <v>598</v>
      </c>
      <c r="AO520">
        <v>570.1</v>
      </c>
      <c r="AP520">
        <f t="shared" si="168"/>
        <v>598</v>
      </c>
      <c r="AQ520" s="40"/>
    </row>
    <row r="521" spans="1:43" x14ac:dyDescent="0.2">
      <c r="A521">
        <v>570.1</v>
      </c>
      <c r="B521">
        <f t="shared" si="167"/>
        <v>648</v>
      </c>
      <c r="AO521">
        <v>570.1</v>
      </c>
      <c r="AP521">
        <f t="shared" si="168"/>
        <v>648</v>
      </c>
      <c r="AQ521" s="40"/>
    </row>
    <row r="522" spans="1:43" x14ac:dyDescent="0.2">
      <c r="A522">
        <v>570.1</v>
      </c>
      <c r="B522">
        <f t="shared" si="167"/>
        <v>698</v>
      </c>
      <c r="AO522">
        <v>570.1</v>
      </c>
      <c r="AP522">
        <f t="shared" si="168"/>
        <v>698</v>
      </c>
      <c r="AQ522" s="40"/>
    </row>
    <row r="523" spans="1:43" x14ac:dyDescent="0.2">
      <c r="A523">
        <v>570.1</v>
      </c>
      <c r="B523">
        <f t="shared" si="167"/>
        <v>748</v>
      </c>
      <c r="AO523">
        <v>570.1</v>
      </c>
      <c r="AP523">
        <f t="shared" si="168"/>
        <v>748</v>
      </c>
      <c r="AQ523" s="40"/>
    </row>
    <row r="524" spans="1:43" x14ac:dyDescent="0.2">
      <c r="A524">
        <v>570.1</v>
      </c>
      <c r="B524">
        <f t="shared" si="167"/>
        <v>798</v>
      </c>
      <c r="AO524">
        <v>570.1</v>
      </c>
      <c r="AP524">
        <f t="shared" si="168"/>
        <v>798</v>
      </c>
      <c r="AQ524" s="40"/>
    </row>
    <row r="525" spans="1:43" x14ac:dyDescent="0.2">
      <c r="A525">
        <v>570.1</v>
      </c>
      <c r="B525">
        <f t="shared" si="167"/>
        <v>848</v>
      </c>
      <c r="AO525">
        <v>570.1</v>
      </c>
      <c r="AP525">
        <f t="shared" si="168"/>
        <v>848</v>
      </c>
      <c r="AQ525" s="40"/>
    </row>
    <row r="526" spans="1:43" x14ac:dyDescent="0.2">
      <c r="A526">
        <v>570.1</v>
      </c>
      <c r="B526">
        <f t="shared" si="167"/>
        <v>898</v>
      </c>
      <c r="AO526">
        <v>570.1</v>
      </c>
      <c r="AP526">
        <f t="shared" si="168"/>
        <v>898</v>
      </c>
      <c r="AQ526" s="40"/>
    </row>
    <row r="527" spans="1:43" x14ac:dyDescent="0.2">
      <c r="A527">
        <v>570.1</v>
      </c>
      <c r="B527">
        <f t="shared" si="167"/>
        <v>948</v>
      </c>
      <c r="AO527">
        <v>570.1</v>
      </c>
      <c r="AP527">
        <f t="shared" si="168"/>
        <v>948</v>
      </c>
      <c r="AQ527" s="40"/>
    </row>
    <row r="528" spans="1:43" x14ac:dyDescent="0.2">
      <c r="A528">
        <v>1140.0999999999999</v>
      </c>
      <c r="B528">
        <v>298</v>
      </c>
      <c r="AO528">
        <v>1140.0999999999999</v>
      </c>
      <c r="AP528">
        <v>293</v>
      </c>
      <c r="AQ528" s="40"/>
    </row>
    <row r="529" spans="1:43" x14ac:dyDescent="0.2">
      <c r="A529">
        <v>1140.0999999999999</v>
      </c>
      <c r="B529">
        <f t="shared" ref="B529:B541" si="169">B528+50</f>
        <v>348</v>
      </c>
      <c r="AO529">
        <v>1140.0999999999999</v>
      </c>
      <c r="AP529">
        <f t="shared" ref="AP529:AP541" si="170">AP528+50</f>
        <v>343</v>
      </c>
      <c r="AQ529" s="40"/>
    </row>
    <row r="530" spans="1:43" x14ac:dyDescent="0.2">
      <c r="A530">
        <v>1140.0999999999999</v>
      </c>
      <c r="B530">
        <f t="shared" si="169"/>
        <v>398</v>
      </c>
      <c r="AO530">
        <v>1140.0999999999999</v>
      </c>
      <c r="AP530">
        <f t="shared" si="170"/>
        <v>393</v>
      </c>
      <c r="AQ530" s="40"/>
    </row>
    <row r="531" spans="1:43" x14ac:dyDescent="0.2">
      <c r="A531">
        <v>1140.0999999999999</v>
      </c>
      <c r="B531">
        <f t="shared" si="169"/>
        <v>448</v>
      </c>
      <c r="AO531">
        <v>1140.0999999999999</v>
      </c>
      <c r="AP531">
        <f t="shared" si="170"/>
        <v>443</v>
      </c>
      <c r="AQ531" s="40"/>
    </row>
    <row r="532" spans="1:43" x14ac:dyDescent="0.2">
      <c r="A532">
        <v>1140.0999999999999</v>
      </c>
      <c r="B532">
        <f t="shared" si="169"/>
        <v>498</v>
      </c>
      <c r="AO532">
        <v>1140.0999999999999</v>
      </c>
      <c r="AP532">
        <f t="shared" si="170"/>
        <v>493</v>
      </c>
      <c r="AQ532" s="40"/>
    </row>
    <row r="533" spans="1:43" x14ac:dyDescent="0.2">
      <c r="A533">
        <v>1140.0999999999999</v>
      </c>
      <c r="B533">
        <f t="shared" si="169"/>
        <v>548</v>
      </c>
      <c r="AO533">
        <v>1140.0999999999999</v>
      </c>
      <c r="AP533">
        <f t="shared" si="170"/>
        <v>543</v>
      </c>
      <c r="AQ533" s="40"/>
    </row>
    <row r="534" spans="1:43" x14ac:dyDescent="0.2">
      <c r="A534">
        <v>1140.0999999999999</v>
      </c>
      <c r="B534">
        <f t="shared" si="169"/>
        <v>598</v>
      </c>
      <c r="AO534">
        <v>1140.0999999999999</v>
      </c>
      <c r="AP534">
        <f t="shared" si="170"/>
        <v>593</v>
      </c>
      <c r="AQ534" s="40"/>
    </row>
    <row r="535" spans="1:43" x14ac:dyDescent="0.2">
      <c r="A535">
        <v>1140.0999999999999</v>
      </c>
      <c r="B535">
        <f t="shared" si="169"/>
        <v>648</v>
      </c>
      <c r="AO535">
        <v>1140.0999999999999</v>
      </c>
      <c r="AP535">
        <f t="shared" si="170"/>
        <v>643</v>
      </c>
      <c r="AQ535" s="40"/>
    </row>
    <row r="536" spans="1:43" x14ac:dyDescent="0.2">
      <c r="A536">
        <v>1140.0999999999999</v>
      </c>
      <c r="B536">
        <f t="shared" si="169"/>
        <v>698</v>
      </c>
      <c r="AO536">
        <v>1140.0999999999999</v>
      </c>
      <c r="AP536">
        <f t="shared" si="170"/>
        <v>693</v>
      </c>
      <c r="AQ536" s="40"/>
    </row>
    <row r="537" spans="1:43" x14ac:dyDescent="0.2">
      <c r="A537">
        <v>1140.0999999999999</v>
      </c>
      <c r="B537">
        <f t="shared" si="169"/>
        <v>748</v>
      </c>
      <c r="AO537">
        <v>1140.0999999999999</v>
      </c>
      <c r="AP537">
        <f t="shared" si="170"/>
        <v>743</v>
      </c>
      <c r="AQ537" s="40"/>
    </row>
    <row r="538" spans="1:43" x14ac:dyDescent="0.2">
      <c r="A538">
        <v>1140.0999999999999</v>
      </c>
      <c r="B538">
        <f t="shared" si="169"/>
        <v>798</v>
      </c>
      <c r="AO538">
        <v>1140.0999999999999</v>
      </c>
      <c r="AP538">
        <f t="shared" si="170"/>
        <v>793</v>
      </c>
      <c r="AQ538" s="40"/>
    </row>
    <row r="539" spans="1:43" x14ac:dyDescent="0.2">
      <c r="A539">
        <v>1140.0999999999999</v>
      </c>
      <c r="B539">
        <f t="shared" si="169"/>
        <v>848</v>
      </c>
      <c r="AO539">
        <v>1140.0999999999999</v>
      </c>
      <c r="AP539">
        <f t="shared" si="170"/>
        <v>843</v>
      </c>
      <c r="AQ539" s="40"/>
    </row>
    <row r="540" spans="1:43" x14ac:dyDescent="0.2">
      <c r="A540">
        <v>1140.0999999999999</v>
      </c>
      <c r="B540">
        <f t="shared" si="169"/>
        <v>898</v>
      </c>
      <c r="AO540">
        <v>1140.0999999999999</v>
      </c>
      <c r="AP540">
        <f t="shared" si="170"/>
        <v>893</v>
      </c>
      <c r="AQ540" s="40"/>
    </row>
    <row r="541" spans="1:43" x14ac:dyDescent="0.2">
      <c r="A541">
        <v>1140.0999999999999</v>
      </c>
      <c r="B541">
        <f t="shared" si="169"/>
        <v>948</v>
      </c>
      <c r="AO541">
        <v>1140.0999999999999</v>
      </c>
      <c r="AP541">
        <f t="shared" si="170"/>
        <v>943</v>
      </c>
      <c r="AQ541" s="40"/>
    </row>
    <row r="542" spans="1:43" x14ac:dyDescent="0.2">
      <c r="A542">
        <v>1711.1</v>
      </c>
      <c r="B542">
        <v>298</v>
      </c>
      <c r="AO542">
        <v>1711.1</v>
      </c>
      <c r="AP542">
        <v>293</v>
      </c>
      <c r="AQ542" s="40"/>
    </row>
    <row r="543" spans="1:43" x14ac:dyDescent="0.2">
      <c r="A543">
        <v>1711.1</v>
      </c>
      <c r="B543">
        <f t="shared" ref="B543:B555" si="171">B542+50</f>
        <v>348</v>
      </c>
      <c r="AO543">
        <v>1711.1</v>
      </c>
      <c r="AP543">
        <f t="shared" ref="AP543:AP555" si="172">AP542+50</f>
        <v>343</v>
      </c>
      <c r="AQ543" s="40"/>
    </row>
    <row r="544" spans="1:43" x14ac:dyDescent="0.2">
      <c r="A544">
        <v>1711.1</v>
      </c>
      <c r="B544">
        <f t="shared" si="171"/>
        <v>398</v>
      </c>
      <c r="AO544">
        <v>1711.1</v>
      </c>
      <c r="AP544">
        <f t="shared" si="172"/>
        <v>393</v>
      </c>
      <c r="AQ544" s="40"/>
    </row>
    <row r="545" spans="1:62" x14ac:dyDescent="0.2">
      <c r="A545">
        <v>1711.1</v>
      </c>
      <c r="B545">
        <f t="shared" si="171"/>
        <v>448</v>
      </c>
      <c r="AO545">
        <v>1711.1</v>
      </c>
      <c r="AP545">
        <f t="shared" si="172"/>
        <v>443</v>
      </c>
      <c r="AQ545" s="40"/>
    </row>
    <row r="546" spans="1:62" x14ac:dyDescent="0.2">
      <c r="A546">
        <v>1711.1</v>
      </c>
      <c r="B546">
        <f t="shared" si="171"/>
        <v>498</v>
      </c>
      <c r="AO546">
        <v>1711.1</v>
      </c>
      <c r="AP546">
        <f t="shared" si="172"/>
        <v>493</v>
      </c>
      <c r="AQ546" s="40"/>
    </row>
    <row r="547" spans="1:62" x14ac:dyDescent="0.2">
      <c r="A547">
        <v>1711.1</v>
      </c>
      <c r="B547">
        <f t="shared" si="171"/>
        <v>548</v>
      </c>
      <c r="AO547">
        <v>1711.1</v>
      </c>
      <c r="AP547">
        <f t="shared" si="172"/>
        <v>543</v>
      </c>
      <c r="AQ547" s="40"/>
    </row>
    <row r="548" spans="1:62" x14ac:dyDescent="0.2">
      <c r="A548">
        <v>1711.1</v>
      </c>
      <c r="B548">
        <f t="shared" si="171"/>
        <v>598</v>
      </c>
      <c r="AO548">
        <v>1711.1</v>
      </c>
      <c r="AP548">
        <f t="shared" si="172"/>
        <v>593</v>
      </c>
      <c r="AQ548" s="40"/>
    </row>
    <row r="549" spans="1:62" x14ac:dyDescent="0.2">
      <c r="A549">
        <v>1711.1</v>
      </c>
      <c r="B549">
        <f t="shared" si="171"/>
        <v>648</v>
      </c>
      <c r="AO549">
        <v>1711.1</v>
      </c>
      <c r="AP549">
        <f t="shared" si="172"/>
        <v>643</v>
      </c>
      <c r="AQ549" s="40"/>
    </row>
    <row r="550" spans="1:62" x14ac:dyDescent="0.2">
      <c r="A550">
        <v>1711.1</v>
      </c>
      <c r="B550">
        <f t="shared" si="171"/>
        <v>698</v>
      </c>
      <c r="AO550">
        <v>1711.1</v>
      </c>
      <c r="AP550">
        <f t="shared" si="172"/>
        <v>693</v>
      </c>
      <c r="AQ550" s="40"/>
    </row>
    <row r="551" spans="1:62" x14ac:dyDescent="0.2">
      <c r="A551">
        <v>1711.1</v>
      </c>
      <c r="B551">
        <f t="shared" si="171"/>
        <v>748</v>
      </c>
      <c r="AO551">
        <v>1711.1</v>
      </c>
      <c r="AP551">
        <f t="shared" si="172"/>
        <v>743</v>
      </c>
      <c r="AQ551" s="40"/>
    </row>
    <row r="552" spans="1:62" x14ac:dyDescent="0.2">
      <c r="A552">
        <v>1711.1</v>
      </c>
      <c r="B552">
        <f t="shared" si="171"/>
        <v>798</v>
      </c>
      <c r="AO552">
        <v>1711.1</v>
      </c>
      <c r="AP552">
        <f t="shared" si="172"/>
        <v>793</v>
      </c>
      <c r="AQ552" s="40"/>
    </row>
    <row r="553" spans="1:62" x14ac:dyDescent="0.2">
      <c r="A553">
        <v>1711.1</v>
      </c>
      <c r="B553">
        <f t="shared" si="171"/>
        <v>848</v>
      </c>
      <c r="AO553">
        <v>1711.1</v>
      </c>
      <c r="AP553">
        <f t="shared" si="172"/>
        <v>843</v>
      </c>
      <c r="AQ553" s="40"/>
    </row>
    <row r="554" spans="1:62" x14ac:dyDescent="0.2">
      <c r="A554">
        <v>1711.1</v>
      </c>
      <c r="B554">
        <f t="shared" si="171"/>
        <v>898</v>
      </c>
      <c r="AO554">
        <v>1711.1</v>
      </c>
      <c r="AP554">
        <f t="shared" si="172"/>
        <v>893</v>
      </c>
      <c r="AQ554" s="40"/>
    </row>
    <row r="555" spans="1:62" x14ac:dyDescent="0.2">
      <c r="A555">
        <v>1711.1</v>
      </c>
      <c r="B555">
        <f t="shared" si="171"/>
        <v>948</v>
      </c>
      <c r="AO555">
        <v>1711.1</v>
      </c>
      <c r="AP555">
        <f t="shared" si="172"/>
        <v>943</v>
      </c>
      <c r="AQ555" s="40"/>
    </row>
    <row r="557" spans="1:62" ht="18" x14ac:dyDescent="0.25">
      <c r="A557" s="1" t="s">
        <v>107</v>
      </c>
      <c r="B557" s="63" t="s">
        <v>75</v>
      </c>
      <c r="C557" s="63"/>
      <c r="D557" s="63"/>
      <c r="E557" s="63"/>
      <c r="F557" s="63"/>
      <c r="G557" s="63"/>
      <c r="H557" s="63"/>
      <c r="I557" s="63"/>
      <c r="J557" s="63"/>
      <c r="K557" s="63"/>
      <c r="L557" s="63"/>
      <c r="M557" s="63"/>
      <c r="N557" s="63"/>
      <c r="O557" s="63"/>
      <c r="P557" s="63"/>
      <c r="Q557" s="63"/>
      <c r="R557" s="63"/>
      <c r="S557" s="63"/>
      <c r="T557" s="63"/>
      <c r="V557" s="63" t="s">
        <v>98</v>
      </c>
      <c r="W557" s="63"/>
      <c r="X557" s="63"/>
      <c r="Y557" s="63"/>
      <c r="Z557" s="63"/>
      <c r="AA557" s="63"/>
      <c r="AB557" s="63"/>
      <c r="AC557" s="63"/>
      <c r="AD557" s="63"/>
      <c r="AE557" s="63"/>
      <c r="AF557" s="63"/>
      <c r="AG557" s="63"/>
      <c r="AH557" s="63"/>
      <c r="AI557" s="63"/>
      <c r="AJ557" s="63"/>
      <c r="AK557" s="63"/>
      <c r="AL557" s="63"/>
      <c r="AM557" s="63"/>
      <c r="AO557" s="63" t="s">
        <v>99</v>
      </c>
      <c r="AP557" s="63"/>
      <c r="AQ557" s="63"/>
      <c r="AR557" s="63"/>
      <c r="AS557" s="63"/>
      <c r="AT557" s="63"/>
      <c r="AU557" s="63"/>
      <c r="AV557" s="63"/>
      <c r="AW557" s="63"/>
      <c r="AX557" s="63"/>
      <c r="AY557" s="63"/>
      <c r="AZ557" s="63"/>
      <c r="BA557" s="63"/>
      <c r="BB557" s="63"/>
      <c r="BC557" s="63"/>
      <c r="BD557" s="63"/>
      <c r="BE557" s="63"/>
      <c r="BF557" s="63"/>
      <c r="BH557" s="63" t="s">
        <v>68</v>
      </c>
      <c r="BI557" s="63"/>
      <c r="BJ557" s="63"/>
    </row>
    <row r="558" spans="1:62" ht="18" customHeight="1" thickBot="1" x14ac:dyDescent="0.25">
      <c r="A558" s="32" t="s">
        <v>96</v>
      </c>
      <c r="B558" s="32" t="s">
        <v>97</v>
      </c>
      <c r="C558" s="13" t="s">
        <v>0</v>
      </c>
      <c r="D558" s="13" t="s">
        <v>1</v>
      </c>
      <c r="E558" s="13" t="s">
        <v>2</v>
      </c>
      <c r="F558" s="13" t="s">
        <v>3</v>
      </c>
      <c r="G558" s="13" t="s">
        <v>4</v>
      </c>
      <c r="H558" s="13" t="s">
        <v>5</v>
      </c>
      <c r="I558" s="13" t="s">
        <v>6</v>
      </c>
      <c r="J558" s="13" t="s">
        <v>7</v>
      </c>
      <c r="K558" s="13" t="s">
        <v>8</v>
      </c>
      <c r="L558" s="13" t="s">
        <v>9</v>
      </c>
      <c r="M558" s="13" t="s">
        <v>10</v>
      </c>
      <c r="N558" s="13" t="s">
        <v>11</v>
      </c>
      <c r="O558" s="13" t="s">
        <v>12</v>
      </c>
      <c r="P558" s="13" t="s">
        <v>13</v>
      </c>
      <c r="Q558" s="13" t="s">
        <v>14</v>
      </c>
      <c r="R558" s="13" t="s">
        <v>15</v>
      </c>
      <c r="S558" s="13" t="s">
        <v>16</v>
      </c>
      <c r="T558" s="13" t="s">
        <v>17</v>
      </c>
      <c r="V558" s="13" t="s">
        <v>0</v>
      </c>
      <c r="W558" s="13" t="s">
        <v>1</v>
      </c>
      <c r="X558" s="13" t="s">
        <v>2</v>
      </c>
      <c r="Y558" s="13" t="s">
        <v>3</v>
      </c>
      <c r="Z558" s="13" t="s">
        <v>4</v>
      </c>
      <c r="AA558" s="13" t="s">
        <v>5</v>
      </c>
      <c r="AB558" s="13" t="s">
        <v>6</v>
      </c>
      <c r="AC558" s="13" t="s">
        <v>7</v>
      </c>
      <c r="AD558" s="13" t="s">
        <v>8</v>
      </c>
      <c r="AE558" s="13" t="s">
        <v>9</v>
      </c>
      <c r="AF558" s="13" t="s">
        <v>10</v>
      </c>
      <c r="AG558" s="13" t="s">
        <v>11</v>
      </c>
      <c r="AH558" s="13" t="s">
        <v>12</v>
      </c>
      <c r="AI558" s="13" t="s">
        <v>13</v>
      </c>
      <c r="AJ558" s="13" t="s">
        <v>14</v>
      </c>
      <c r="AK558" s="13" t="s">
        <v>15</v>
      </c>
      <c r="AL558" s="13" t="s">
        <v>16</v>
      </c>
      <c r="AM558" s="13" t="s">
        <v>17</v>
      </c>
      <c r="AO558" s="13" t="s">
        <v>0</v>
      </c>
      <c r="AP558" s="13" t="s">
        <v>1</v>
      </c>
      <c r="AQ558" s="13" t="s">
        <v>2</v>
      </c>
      <c r="AR558" s="13" t="s">
        <v>3</v>
      </c>
      <c r="AS558" s="13" t="s">
        <v>4</v>
      </c>
      <c r="AT558" s="13" t="s">
        <v>5</v>
      </c>
      <c r="AU558" s="13" t="s">
        <v>6</v>
      </c>
      <c r="AV558" s="13" t="s">
        <v>7</v>
      </c>
      <c r="AW558" s="13" t="s">
        <v>8</v>
      </c>
      <c r="AX558" s="13" t="s">
        <v>9</v>
      </c>
      <c r="AY558" s="13" t="s">
        <v>10</v>
      </c>
      <c r="AZ558" s="13" t="s">
        <v>11</v>
      </c>
      <c r="BA558" s="13" t="s">
        <v>12</v>
      </c>
      <c r="BB558" s="13" t="s">
        <v>13</v>
      </c>
      <c r="BC558" s="13" t="s">
        <v>14</v>
      </c>
      <c r="BD558" s="13" t="s">
        <v>15</v>
      </c>
      <c r="BE558" s="13" t="s">
        <v>16</v>
      </c>
      <c r="BF558" s="13" t="s">
        <v>17</v>
      </c>
      <c r="BH558" s="35" t="s">
        <v>96</v>
      </c>
      <c r="BI558" s="35" t="s">
        <v>97</v>
      </c>
      <c r="BJ558" s="35" t="s">
        <v>74</v>
      </c>
    </row>
    <row r="559" spans="1:62" x14ac:dyDescent="0.2">
      <c r="A559">
        <v>0.1</v>
      </c>
      <c r="B559">
        <v>298</v>
      </c>
      <c r="BH559">
        <v>0.1</v>
      </c>
      <c r="BI559">
        <v>298</v>
      </c>
    </row>
    <row r="560" spans="1:62" x14ac:dyDescent="0.2">
      <c r="A560">
        <v>0.1</v>
      </c>
      <c r="B560">
        <f t="shared" ref="B560:B572" si="173">B559+50</f>
        <v>348</v>
      </c>
      <c r="BH560">
        <v>0.1</v>
      </c>
      <c r="BI560">
        <f t="shared" ref="BI560:BI572" si="174">BI559+50</f>
        <v>348</v>
      </c>
    </row>
    <row r="561" spans="1:61" x14ac:dyDescent="0.2">
      <c r="A561">
        <v>0.1</v>
      </c>
      <c r="B561">
        <f t="shared" si="173"/>
        <v>398</v>
      </c>
      <c r="BH561">
        <v>0.1</v>
      </c>
      <c r="BI561">
        <f t="shared" si="174"/>
        <v>398</v>
      </c>
    </row>
    <row r="562" spans="1:61" x14ac:dyDescent="0.2">
      <c r="A562">
        <v>0.1</v>
      </c>
      <c r="B562">
        <f t="shared" si="173"/>
        <v>448</v>
      </c>
      <c r="BH562">
        <v>0.1</v>
      </c>
      <c r="BI562">
        <f t="shared" si="174"/>
        <v>448</v>
      </c>
    </row>
    <row r="563" spans="1:61" x14ac:dyDescent="0.2">
      <c r="A563">
        <v>0.1</v>
      </c>
      <c r="B563">
        <f t="shared" si="173"/>
        <v>498</v>
      </c>
      <c r="BH563">
        <v>0.1</v>
      </c>
      <c r="BI563">
        <f t="shared" si="174"/>
        <v>498</v>
      </c>
    </row>
    <row r="564" spans="1:61" x14ac:dyDescent="0.2">
      <c r="A564">
        <v>0.1</v>
      </c>
      <c r="B564">
        <f t="shared" si="173"/>
        <v>548</v>
      </c>
      <c r="BH564">
        <v>0.1</v>
      </c>
      <c r="BI564">
        <f t="shared" si="174"/>
        <v>548</v>
      </c>
    </row>
    <row r="565" spans="1:61" x14ac:dyDescent="0.2">
      <c r="A565">
        <v>0.1</v>
      </c>
      <c r="B565">
        <f t="shared" si="173"/>
        <v>598</v>
      </c>
      <c r="BH565">
        <v>0.1</v>
      </c>
      <c r="BI565">
        <f t="shared" si="174"/>
        <v>598</v>
      </c>
    </row>
    <row r="566" spans="1:61" x14ac:dyDescent="0.2">
      <c r="A566">
        <v>0.1</v>
      </c>
      <c r="B566">
        <f t="shared" si="173"/>
        <v>648</v>
      </c>
      <c r="BH566">
        <v>0.1</v>
      </c>
      <c r="BI566">
        <f t="shared" si="174"/>
        <v>648</v>
      </c>
    </row>
    <row r="567" spans="1:61" x14ac:dyDescent="0.2">
      <c r="A567">
        <v>0.1</v>
      </c>
      <c r="B567">
        <f t="shared" si="173"/>
        <v>698</v>
      </c>
      <c r="BH567">
        <v>0.1</v>
      </c>
      <c r="BI567">
        <f t="shared" si="174"/>
        <v>698</v>
      </c>
    </row>
    <row r="568" spans="1:61" x14ac:dyDescent="0.2">
      <c r="A568">
        <v>0.1</v>
      </c>
      <c r="B568">
        <f t="shared" si="173"/>
        <v>748</v>
      </c>
      <c r="BH568">
        <v>0.1</v>
      </c>
      <c r="BI568">
        <f t="shared" si="174"/>
        <v>748</v>
      </c>
    </row>
    <row r="569" spans="1:61" x14ac:dyDescent="0.2">
      <c r="A569">
        <v>0.1</v>
      </c>
      <c r="B569">
        <f t="shared" si="173"/>
        <v>798</v>
      </c>
      <c r="BH569">
        <v>0.1</v>
      </c>
      <c r="BI569">
        <f t="shared" si="174"/>
        <v>798</v>
      </c>
    </row>
    <row r="570" spans="1:61" x14ac:dyDescent="0.2">
      <c r="A570">
        <v>0.1</v>
      </c>
      <c r="B570">
        <f t="shared" si="173"/>
        <v>848</v>
      </c>
      <c r="BH570">
        <v>0.1</v>
      </c>
      <c r="BI570">
        <f t="shared" si="174"/>
        <v>848</v>
      </c>
    </row>
    <row r="571" spans="1:61" x14ac:dyDescent="0.2">
      <c r="A571">
        <v>0.1</v>
      </c>
      <c r="B571">
        <f t="shared" si="173"/>
        <v>898</v>
      </c>
      <c r="BH571">
        <v>0.1</v>
      </c>
      <c r="BI571">
        <f t="shared" si="174"/>
        <v>898</v>
      </c>
    </row>
    <row r="572" spans="1:61" x14ac:dyDescent="0.2">
      <c r="A572">
        <v>0.1</v>
      </c>
      <c r="B572">
        <f t="shared" si="173"/>
        <v>948</v>
      </c>
      <c r="BH572">
        <v>0.1</v>
      </c>
      <c r="BI572">
        <f t="shared" si="174"/>
        <v>948</v>
      </c>
    </row>
    <row r="573" spans="1:61" x14ac:dyDescent="0.2">
      <c r="A573">
        <v>570.1</v>
      </c>
      <c r="B573">
        <v>298</v>
      </c>
      <c r="BH573">
        <v>570.1</v>
      </c>
      <c r="BI573">
        <v>298</v>
      </c>
    </row>
    <row r="574" spans="1:61" x14ac:dyDescent="0.2">
      <c r="A574">
        <v>570.1</v>
      </c>
      <c r="B574">
        <f t="shared" ref="B574:B586" si="175">B573+50</f>
        <v>348</v>
      </c>
      <c r="BH574">
        <v>570.1</v>
      </c>
      <c r="BI574">
        <f t="shared" ref="BI574:BI586" si="176">BI573+50</f>
        <v>348</v>
      </c>
    </row>
    <row r="575" spans="1:61" x14ac:dyDescent="0.2">
      <c r="A575">
        <v>570.1</v>
      </c>
      <c r="B575">
        <f t="shared" si="175"/>
        <v>398</v>
      </c>
      <c r="BH575">
        <v>570.1</v>
      </c>
      <c r="BI575">
        <f t="shared" si="176"/>
        <v>398</v>
      </c>
    </row>
    <row r="576" spans="1:61" x14ac:dyDescent="0.2">
      <c r="A576">
        <v>570.1</v>
      </c>
      <c r="B576">
        <f t="shared" si="175"/>
        <v>448</v>
      </c>
      <c r="BH576">
        <v>570.1</v>
      </c>
      <c r="BI576">
        <f t="shared" si="176"/>
        <v>448</v>
      </c>
    </row>
    <row r="577" spans="1:61" x14ac:dyDescent="0.2">
      <c r="A577">
        <v>570.1</v>
      </c>
      <c r="B577">
        <f t="shared" si="175"/>
        <v>498</v>
      </c>
      <c r="BH577">
        <v>570.1</v>
      </c>
      <c r="BI577">
        <f t="shared" si="176"/>
        <v>498</v>
      </c>
    </row>
    <row r="578" spans="1:61" x14ac:dyDescent="0.2">
      <c r="A578">
        <v>570.1</v>
      </c>
      <c r="B578">
        <f t="shared" si="175"/>
        <v>548</v>
      </c>
      <c r="BH578">
        <v>570.1</v>
      </c>
      <c r="BI578">
        <f t="shared" si="176"/>
        <v>548</v>
      </c>
    </row>
    <row r="579" spans="1:61" x14ac:dyDescent="0.2">
      <c r="A579">
        <v>570.1</v>
      </c>
      <c r="B579">
        <f t="shared" si="175"/>
        <v>598</v>
      </c>
      <c r="BH579">
        <v>570.1</v>
      </c>
      <c r="BI579">
        <f t="shared" si="176"/>
        <v>598</v>
      </c>
    </row>
    <row r="580" spans="1:61" x14ac:dyDescent="0.2">
      <c r="A580">
        <v>570.1</v>
      </c>
      <c r="B580">
        <f t="shared" si="175"/>
        <v>648</v>
      </c>
      <c r="BH580">
        <v>570.1</v>
      </c>
      <c r="BI580">
        <f t="shared" si="176"/>
        <v>648</v>
      </c>
    </row>
    <row r="581" spans="1:61" x14ac:dyDescent="0.2">
      <c r="A581">
        <v>570.1</v>
      </c>
      <c r="B581">
        <f t="shared" si="175"/>
        <v>698</v>
      </c>
      <c r="BH581">
        <v>570.1</v>
      </c>
      <c r="BI581">
        <f t="shared" si="176"/>
        <v>698</v>
      </c>
    </row>
    <row r="582" spans="1:61" x14ac:dyDescent="0.2">
      <c r="A582">
        <v>570.1</v>
      </c>
      <c r="B582">
        <f t="shared" si="175"/>
        <v>748</v>
      </c>
      <c r="BH582">
        <v>570.1</v>
      </c>
      <c r="BI582">
        <f t="shared" si="176"/>
        <v>748</v>
      </c>
    </row>
    <row r="583" spans="1:61" x14ac:dyDescent="0.2">
      <c r="A583">
        <v>570.1</v>
      </c>
      <c r="B583">
        <f t="shared" si="175"/>
        <v>798</v>
      </c>
      <c r="BH583">
        <v>570.1</v>
      </c>
      <c r="BI583">
        <f t="shared" si="176"/>
        <v>798</v>
      </c>
    </row>
    <row r="584" spans="1:61" x14ac:dyDescent="0.2">
      <c r="A584">
        <v>570.1</v>
      </c>
      <c r="B584">
        <f t="shared" si="175"/>
        <v>848</v>
      </c>
      <c r="BH584">
        <v>570.1</v>
      </c>
      <c r="BI584">
        <f t="shared" si="176"/>
        <v>848</v>
      </c>
    </row>
    <row r="585" spans="1:61" x14ac:dyDescent="0.2">
      <c r="A585">
        <v>570.1</v>
      </c>
      <c r="B585">
        <f t="shared" si="175"/>
        <v>898</v>
      </c>
      <c r="BH585">
        <v>570.1</v>
      </c>
      <c r="BI585">
        <f t="shared" si="176"/>
        <v>898</v>
      </c>
    </row>
    <row r="586" spans="1:61" x14ac:dyDescent="0.2">
      <c r="A586">
        <v>570.1</v>
      </c>
      <c r="B586">
        <f t="shared" si="175"/>
        <v>948</v>
      </c>
      <c r="BH586">
        <v>570.1</v>
      </c>
      <c r="BI586">
        <f t="shared" si="176"/>
        <v>948</v>
      </c>
    </row>
    <row r="587" spans="1:61" x14ac:dyDescent="0.2">
      <c r="A587">
        <v>1140.0999999999999</v>
      </c>
      <c r="B587">
        <v>298</v>
      </c>
      <c r="BH587">
        <v>1140.0999999999999</v>
      </c>
      <c r="BI587">
        <v>293</v>
      </c>
    </row>
    <row r="588" spans="1:61" x14ac:dyDescent="0.2">
      <c r="A588">
        <v>1140.0999999999999</v>
      </c>
      <c r="B588">
        <f t="shared" ref="B588:B600" si="177">B587+50</f>
        <v>348</v>
      </c>
      <c r="BH588">
        <v>1140.0999999999999</v>
      </c>
      <c r="BI588">
        <f t="shared" ref="BI588:BI600" si="178">BI587+50</f>
        <v>343</v>
      </c>
    </row>
    <row r="589" spans="1:61" x14ac:dyDescent="0.2">
      <c r="A589">
        <v>1140.0999999999999</v>
      </c>
      <c r="B589">
        <f t="shared" si="177"/>
        <v>398</v>
      </c>
      <c r="BH589">
        <v>1140.0999999999999</v>
      </c>
      <c r="BI589">
        <f t="shared" si="178"/>
        <v>393</v>
      </c>
    </row>
    <row r="590" spans="1:61" x14ac:dyDescent="0.2">
      <c r="A590">
        <v>1140.0999999999999</v>
      </c>
      <c r="B590">
        <f t="shared" si="177"/>
        <v>448</v>
      </c>
      <c r="BH590">
        <v>1140.0999999999999</v>
      </c>
      <c r="BI590">
        <f t="shared" si="178"/>
        <v>443</v>
      </c>
    </row>
    <row r="591" spans="1:61" x14ac:dyDescent="0.2">
      <c r="A591">
        <v>1140.0999999999999</v>
      </c>
      <c r="B591">
        <f t="shared" si="177"/>
        <v>498</v>
      </c>
      <c r="BH591">
        <v>1140.0999999999999</v>
      </c>
      <c r="BI591">
        <f t="shared" si="178"/>
        <v>493</v>
      </c>
    </row>
    <row r="592" spans="1:61" x14ac:dyDescent="0.2">
      <c r="A592">
        <v>1140.0999999999999</v>
      </c>
      <c r="B592">
        <f t="shared" si="177"/>
        <v>548</v>
      </c>
      <c r="BH592">
        <v>1140.0999999999999</v>
      </c>
      <c r="BI592">
        <f t="shared" si="178"/>
        <v>543</v>
      </c>
    </row>
    <row r="593" spans="1:61" x14ac:dyDescent="0.2">
      <c r="A593">
        <v>1140.0999999999999</v>
      </c>
      <c r="B593">
        <f t="shared" si="177"/>
        <v>598</v>
      </c>
      <c r="BH593">
        <v>1140.0999999999999</v>
      </c>
      <c r="BI593">
        <f t="shared" si="178"/>
        <v>593</v>
      </c>
    </row>
    <row r="594" spans="1:61" x14ac:dyDescent="0.2">
      <c r="A594">
        <v>1140.0999999999999</v>
      </c>
      <c r="B594">
        <f t="shared" si="177"/>
        <v>648</v>
      </c>
      <c r="BH594">
        <v>1140.0999999999999</v>
      </c>
      <c r="BI594">
        <f t="shared" si="178"/>
        <v>643</v>
      </c>
    </row>
    <row r="595" spans="1:61" x14ac:dyDescent="0.2">
      <c r="A595">
        <v>1140.0999999999999</v>
      </c>
      <c r="B595">
        <f t="shared" si="177"/>
        <v>698</v>
      </c>
      <c r="BH595">
        <v>1140.0999999999999</v>
      </c>
      <c r="BI595">
        <f t="shared" si="178"/>
        <v>693</v>
      </c>
    </row>
    <row r="596" spans="1:61" x14ac:dyDescent="0.2">
      <c r="A596">
        <v>1140.0999999999999</v>
      </c>
      <c r="B596">
        <f t="shared" si="177"/>
        <v>748</v>
      </c>
      <c r="BH596">
        <v>1140.0999999999999</v>
      </c>
      <c r="BI596">
        <f t="shared" si="178"/>
        <v>743</v>
      </c>
    </row>
    <row r="597" spans="1:61" x14ac:dyDescent="0.2">
      <c r="A597">
        <v>1140.0999999999999</v>
      </c>
      <c r="B597">
        <f t="shared" si="177"/>
        <v>798</v>
      </c>
      <c r="BH597">
        <v>1140.0999999999999</v>
      </c>
      <c r="BI597">
        <f t="shared" si="178"/>
        <v>793</v>
      </c>
    </row>
    <row r="598" spans="1:61" x14ac:dyDescent="0.2">
      <c r="A598">
        <v>1140.0999999999999</v>
      </c>
      <c r="B598">
        <f t="shared" si="177"/>
        <v>848</v>
      </c>
      <c r="BH598">
        <v>1140.0999999999999</v>
      </c>
      <c r="BI598">
        <f t="shared" si="178"/>
        <v>843</v>
      </c>
    </row>
    <row r="599" spans="1:61" x14ac:dyDescent="0.2">
      <c r="A599">
        <v>1140.0999999999999</v>
      </c>
      <c r="B599">
        <f t="shared" si="177"/>
        <v>898</v>
      </c>
      <c r="BH599">
        <v>1140.0999999999999</v>
      </c>
      <c r="BI599">
        <f t="shared" si="178"/>
        <v>893</v>
      </c>
    </row>
    <row r="600" spans="1:61" x14ac:dyDescent="0.2">
      <c r="A600">
        <v>1140.0999999999999</v>
      </c>
      <c r="B600">
        <f t="shared" si="177"/>
        <v>948</v>
      </c>
      <c r="BH600">
        <v>1140.0999999999999</v>
      </c>
      <c r="BI600">
        <f t="shared" si="178"/>
        <v>943</v>
      </c>
    </row>
    <row r="601" spans="1:61" x14ac:dyDescent="0.2">
      <c r="A601">
        <v>1711.1</v>
      </c>
      <c r="B601">
        <v>298</v>
      </c>
      <c r="BH601">
        <v>1711.1</v>
      </c>
      <c r="BI601">
        <v>293</v>
      </c>
    </row>
    <row r="602" spans="1:61" x14ac:dyDescent="0.2">
      <c r="A602">
        <v>1711.1</v>
      </c>
      <c r="B602">
        <f t="shared" ref="B602:B614" si="179">B601+50</f>
        <v>348</v>
      </c>
      <c r="BH602">
        <v>1711.1</v>
      </c>
      <c r="BI602">
        <f t="shared" ref="BI602:BI614" si="180">BI601+50</f>
        <v>343</v>
      </c>
    </row>
    <row r="603" spans="1:61" x14ac:dyDescent="0.2">
      <c r="A603">
        <v>1711.1</v>
      </c>
      <c r="B603">
        <f t="shared" si="179"/>
        <v>398</v>
      </c>
      <c r="BH603">
        <v>1711.1</v>
      </c>
      <c r="BI603">
        <f t="shared" si="180"/>
        <v>393</v>
      </c>
    </row>
    <row r="604" spans="1:61" x14ac:dyDescent="0.2">
      <c r="A604">
        <v>1711.1</v>
      </c>
      <c r="B604">
        <f t="shared" si="179"/>
        <v>448</v>
      </c>
      <c r="BH604">
        <v>1711.1</v>
      </c>
      <c r="BI604">
        <f t="shared" si="180"/>
        <v>443</v>
      </c>
    </row>
    <row r="605" spans="1:61" x14ac:dyDescent="0.2">
      <c r="A605">
        <v>1711.1</v>
      </c>
      <c r="B605">
        <f t="shared" si="179"/>
        <v>498</v>
      </c>
      <c r="BH605">
        <v>1711.1</v>
      </c>
      <c r="BI605">
        <f t="shared" si="180"/>
        <v>493</v>
      </c>
    </row>
    <row r="606" spans="1:61" x14ac:dyDescent="0.2">
      <c r="A606">
        <v>1711.1</v>
      </c>
      <c r="B606">
        <f t="shared" si="179"/>
        <v>548</v>
      </c>
      <c r="BH606">
        <v>1711.1</v>
      </c>
      <c r="BI606">
        <f t="shared" si="180"/>
        <v>543</v>
      </c>
    </row>
    <row r="607" spans="1:61" x14ac:dyDescent="0.2">
      <c r="A607">
        <v>1711.1</v>
      </c>
      <c r="B607">
        <f t="shared" si="179"/>
        <v>598</v>
      </c>
      <c r="BH607">
        <v>1711.1</v>
      </c>
      <c r="BI607">
        <f t="shared" si="180"/>
        <v>593</v>
      </c>
    </row>
    <row r="608" spans="1:61" x14ac:dyDescent="0.2">
      <c r="A608">
        <v>1711.1</v>
      </c>
      <c r="B608">
        <f t="shared" si="179"/>
        <v>648</v>
      </c>
      <c r="BH608">
        <v>1711.1</v>
      </c>
      <c r="BI608">
        <f t="shared" si="180"/>
        <v>643</v>
      </c>
    </row>
    <row r="609" spans="1:61" x14ac:dyDescent="0.2">
      <c r="A609">
        <v>1711.1</v>
      </c>
      <c r="B609">
        <f t="shared" si="179"/>
        <v>698</v>
      </c>
      <c r="BH609">
        <v>1711.1</v>
      </c>
      <c r="BI609">
        <f t="shared" si="180"/>
        <v>693</v>
      </c>
    </row>
    <row r="610" spans="1:61" x14ac:dyDescent="0.2">
      <c r="A610">
        <v>1711.1</v>
      </c>
      <c r="B610">
        <f t="shared" si="179"/>
        <v>748</v>
      </c>
      <c r="BH610">
        <v>1711.1</v>
      </c>
      <c r="BI610">
        <f t="shared" si="180"/>
        <v>743</v>
      </c>
    </row>
    <row r="611" spans="1:61" x14ac:dyDescent="0.2">
      <c r="A611">
        <v>1711.1</v>
      </c>
      <c r="B611">
        <f t="shared" si="179"/>
        <v>798</v>
      </c>
      <c r="BH611">
        <v>1711.1</v>
      </c>
      <c r="BI611">
        <f t="shared" si="180"/>
        <v>793</v>
      </c>
    </row>
    <row r="612" spans="1:61" x14ac:dyDescent="0.2">
      <c r="A612">
        <v>1711.1</v>
      </c>
      <c r="B612">
        <f t="shared" si="179"/>
        <v>848</v>
      </c>
      <c r="BH612">
        <v>1711.1</v>
      </c>
      <c r="BI612">
        <f t="shared" si="180"/>
        <v>843</v>
      </c>
    </row>
    <row r="613" spans="1:61" x14ac:dyDescent="0.2">
      <c r="A613">
        <v>1711.1</v>
      </c>
      <c r="B613">
        <f t="shared" si="179"/>
        <v>898</v>
      </c>
      <c r="BH613">
        <v>1711.1</v>
      </c>
      <c r="BI613">
        <f t="shared" si="180"/>
        <v>893</v>
      </c>
    </row>
    <row r="614" spans="1:61" x14ac:dyDescent="0.2">
      <c r="A614">
        <v>1711.1</v>
      </c>
      <c r="B614">
        <f t="shared" si="179"/>
        <v>948</v>
      </c>
      <c r="BH614">
        <v>1711.1</v>
      </c>
      <c r="BI614">
        <f t="shared" si="180"/>
        <v>943</v>
      </c>
    </row>
    <row r="616" spans="1:61" x14ac:dyDescent="0.2">
      <c r="A616" s="1" t="s">
        <v>108</v>
      </c>
      <c r="B616" s="63" t="s">
        <v>77</v>
      </c>
      <c r="C616" s="63"/>
      <c r="D616" s="63"/>
      <c r="E616" s="63"/>
      <c r="F616" s="63"/>
      <c r="G616" s="63"/>
      <c r="H616" s="63"/>
      <c r="I616" s="63"/>
      <c r="J616" s="63"/>
      <c r="K616" s="63"/>
      <c r="L616" s="63"/>
      <c r="M616" s="63"/>
      <c r="N616" s="63"/>
      <c r="O616" s="63"/>
      <c r="P616" s="63"/>
      <c r="Q616" s="63"/>
      <c r="R616" s="63"/>
      <c r="S616" s="63"/>
      <c r="T616" s="63"/>
      <c r="V616" s="1"/>
      <c r="W616" s="1"/>
      <c r="X616" s="1"/>
      <c r="Y616" s="1"/>
      <c r="Z616" s="1"/>
      <c r="AA616" s="1"/>
      <c r="AB616" s="1"/>
      <c r="AC616" s="1"/>
      <c r="AD616" s="1"/>
      <c r="AE616" s="1"/>
      <c r="AF616" s="1"/>
      <c r="AG616" s="1"/>
      <c r="AH616" s="1"/>
      <c r="AI616" s="1"/>
      <c r="AJ616" s="1"/>
      <c r="AK616" s="1"/>
      <c r="AL616" s="1"/>
      <c r="AM616" s="1"/>
      <c r="AO616" s="1"/>
      <c r="AP616" s="1"/>
      <c r="AQ616" s="1"/>
    </row>
    <row r="617" spans="1:61" ht="17" thickBot="1" x14ac:dyDescent="0.25">
      <c r="A617" s="32" t="s">
        <v>96</v>
      </c>
      <c r="B617" s="32" t="s">
        <v>97</v>
      </c>
      <c r="C617" s="13" t="s">
        <v>0</v>
      </c>
      <c r="D617" s="13" t="s">
        <v>1</v>
      </c>
      <c r="E617" s="13" t="s">
        <v>2</v>
      </c>
      <c r="F617" s="13" t="s">
        <v>3</v>
      </c>
      <c r="G617" s="13" t="s">
        <v>4</v>
      </c>
      <c r="H617" s="13" t="s">
        <v>5</v>
      </c>
      <c r="I617" s="13" t="s">
        <v>6</v>
      </c>
      <c r="J617" s="13" t="s">
        <v>7</v>
      </c>
      <c r="K617" s="13" t="s">
        <v>8</v>
      </c>
      <c r="L617" s="13" t="s">
        <v>9</v>
      </c>
      <c r="M617" s="13" t="s">
        <v>10</v>
      </c>
      <c r="N617" s="13" t="s">
        <v>11</v>
      </c>
      <c r="O617" s="13" t="s">
        <v>12</v>
      </c>
      <c r="P617" s="13" t="s">
        <v>13</v>
      </c>
      <c r="Q617" s="13" t="s">
        <v>14</v>
      </c>
      <c r="R617" s="13" t="s">
        <v>15</v>
      </c>
      <c r="S617" s="13" t="s">
        <v>16</v>
      </c>
      <c r="T617" s="13" t="s">
        <v>17</v>
      </c>
      <c r="V617" s="31"/>
      <c r="W617" s="31"/>
      <c r="X617" s="31"/>
      <c r="Y617" s="31"/>
      <c r="Z617" s="31"/>
      <c r="AA617" s="31"/>
      <c r="AB617" s="31"/>
      <c r="AC617" s="31"/>
      <c r="AD617" s="31"/>
      <c r="AE617" s="31"/>
      <c r="AF617" s="31"/>
      <c r="AG617" s="31"/>
      <c r="AH617" s="31"/>
      <c r="AI617" s="31"/>
      <c r="AJ617" s="31"/>
      <c r="AK617" s="31"/>
      <c r="AL617" s="31"/>
      <c r="AM617" s="31"/>
      <c r="AO617" s="36"/>
      <c r="AP617" s="36"/>
      <c r="AQ617" s="37"/>
    </row>
    <row r="618" spans="1:61" x14ac:dyDescent="0.2">
      <c r="A618">
        <v>0.1</v>
      </c>
      <c r="B618">
        <v>298</v>
      </c>
    </row>
    <row r="619" spans="1:61" x14ac:dyDescent="0.2">
      <c r="A619">
        <v>0.1</v>
      </c>
      <c r="B619">
        <f t="shared" ref="B619:B631" si="181">B618+50</f>
        <v>348</v>
      </c>
    </row>
    <row r="620" spans="1:61" x14ac:dyDescent="0.2">
      <c r="A620">
        <v>0.1</v>
      </c>
      <c r="B620">
        <f t="shared" si="181"/>
        <v>398</v>
      </c>
    </row>
    <row r="621" spans="1:61" x14ac:dyDescent="0.2">
      <c r="A621">
        <v>0.1</v>
      </c>
      <c r="B621">
        <f t="shared" si="181"/>
        <v>448</v>
      </c>
    </row>
    <row r="622" spans="1:61" x14ac:dyDescent="0.2">
      <c r="A622">
        <v>0.1</v>
      </c>
      <c r="B622">
        <f t="shared" si="181"/>
        <v>498</v>
      </c>
    </row>
    <row r="623" spans="1:61" x14ac:dyDescent="0.2">
      <c r="A623">
        <v>0.1</v>
      </c>
      <c r="B623">
        <f t="shared" si="181"/>
        <v>548</v>
      </c>
    </row>
    <row r="624" spans="1:61" x14ac:dyDescent="0.2">
      <c r="A624">
        <v>0.1</v>
      </c>
      <c r="B624">
        <f t="shared" si="181"/>
        <v>598</v>
      </c>
    </row>
    <row r="625" spans="1:2" x14ac:dyDescent="0.2">
      <c r="A625">
        <v>0.1</v>
      </c>
      <c r="B625">
        <f t="shared" si="181"/>
        <v>648</v>
      </c>
    </row>
    <row r="626" spans="1:2" x14ac:dyDescent="0.2">
      <c r="A626">
        <v>0.1</v>
      </c>
      <c r="B626">
        <f t="shared" si="181"/>
        <v>698</v>
      </c>
    </row>
    <row r="627" spans="1:2" x14ac:dyDescent="0.2">
      <c r="A627">
        <v>0.1</v>
      </c>
      <c r="B627">
        <f t="shared" si="181"/>
        <v>748</v>
      </c>
    </row>
    <row r="628" spans="1:2" x14ac:dyDescent="0.2">
      <c r="A628">
        <v>0.1</v>
      </c>
      <c r="B628">
        <f t="shared" si="181"/>
        <v>798</v>
      </c>
    </row>
    <row r="629" spans="1:2" x14ac:dyDescent="0.2">
      <c r="A629">
        <v>0.1</v>
      </c>
      <c r="B629">
        <f t="shared" si="181"/>
        <v>848</v>
      </c>
    </row>
    <row r="630" spans="1:2" x14ac:dyDescent="0.2">
      <c r="A630">
        <v>0.1</v>
      </c>
      <c r="B630">
        <f t="shared" si="181"/>
        <v>898</v>
      </c>
    </row>
    <row r="631" spans="1:2" x14ac:dyDescent="0.2">
      <c r="A631">
        <v>0.1</v>
      </c>
      <c r="B631">
        <f t="shared" si="181"/>
        <v>948</v>
      </c>
    </row>
    <row r="632" spans="1:2" x14ac:dyDescent="0.2">
      <c r="A632">
        <v>570.1</v>
      </c>
      <c r="B632">
        <v>298</v>
      </c>
    </row>
    <row r="633" spans="1:2" x14ac:dyDescent="0.2">
      <c r="A633">
        <v>570.1</v>
      </c>
      <c r="B633">
        <f t="shared" ref="B633:B645" si="182">B632+50</f>
        <v>348</v>
      </c>
    </row>
    <row r="634" spans="1:2" x14ac:dyDescent="0.2">
      <c r="A634">
        <v>570.1</v>
      </c>
      <c r="B634">
        <f t="shared" si="182"/>
        <v>398</v>
      </c>
    </row>
    <row r="635" spans="1:2" x14ac:dyDescent="0.2">
      <c r="A635">
        <v>570.1</v>
      </c>
      <c r="B635">
        <f t="shared" si="182"/>
        <v>448</v>
      </c>
    </row>
    <row r="636" spans="1:2" x14ac:dyDescent="0.2">
      <c r="A636">
        <v>570.1</v>
      </c>
      <c r="B636">
        <f t="shared" si="182"/>
        <v>498</v>
      </c>
    </row>
    <row r="637" spans="1:2" x14ac:dyDescent="0.2">
      <c r="A637">
        <v>570.1</v>
      </c>
      <c r="B637">
        <f t="shared" si="182"/>
        <v>548</v>
      </c>
    </row>
    <row r="638" spans="1:2" x14ac:dyDescent="0.2">
      <c r="A638">
        <v>570.1</v>
      </c>
      <c r="B638">
        <f t="shared" si="182"/>
        <v>598</v>
      </c>
    </row>
    <row r="639" spans="1:2" x14ac:dyDescent="0.2">
      <c r="A639">
        <v>570.1</v>
      </c>
      <c r="B639">
        <f t="shared" si="182"/>
        <v>648</v>
      </c>
    </row>
    <row r="640" spans="1:2" x14ac:dyDescent="0.2">
      <c r="A640">
        <v>570.1</v>
      </c>
      <c r="B640">
        <f t="shared" si="182"/>
        <v>698</v>
      </c>
    </row>
    <row r="641" spans="1:2" x14ac:dyDescent="0.2">
      <c r="A641">
        <v>570.1</v>
      </c>
      <c r="B641">
        <f t="shared" si="182"/>
        <v>748</v>
      </c>
    </row>
    <row r="642" spans="1:2" x14ac:dyDescent="0.2">
      <c r="A642">
        <v>570.1</v>
      </c>
      <c r="B642">
        <f t="shared" si="182"/>
        <v>798</v>
      </c>
    </row>
    <row r="643" spans="1:2" x14ac:dyDescent="0.2">
      <c r="A643">
        <v>570.1</v>
      </c>
      <c r="B643">
        <f t="shared" si="182"/>
        <v>848</v>
      </c>
    </row>
    <row r="644" spans="1:2" x14ac:dyDescent="0.2">
      <c r="A644">
        <v>570.1</v>
      </c>
      <c r="B644">
        <f t="shared" si="182"/>
        <v>898</v>
      </c>
    </row>
    <row r="645" spans="1:2" x14ac:dyDescent="0.2">
      <c r="A645">
        <v>570.1</v>
      </c>
      <c r="B645">
        <f t="shared" si="182"/>
        <v>948</v>
      </c>
    </row>
    <row r="646" spans="1:2" x14ac:dyDescent="0.2">
      <c r="A646">
        <v>1140.0999999999999</v>
      </c>
      <c r="B646">
        <v>298</v>
      </c>
    </row>
    <row r="647" spans="1:2" x14ac:dyDescent="0.2">
      <c r="A647">
        <v>1140.0999999999999</v>
      </c>
      <c r="B647">
        <f t="shared" ref="B647:B659" si="183">B646+50</f>
        <v>348</v>
      </c>
    </row>
    <row r="648" spans="1:2" x14ac:dyDescent="0.2">
      <c r="A648">
        <v>1140.0999999999999</v>
      </c>
      <c r="B648">
        <f t="shared" si="183"/>
        <v>398</v>
      </c>
    </row>
    <row r="649" spans="1:2" x14ac:dyDescent="0.2">
      <c r="A649">
        <v>1140.0999999999999</v>
      </c>
      <c r="B649">
        <f t="shared" si="183"/>
        <v>448</v>
      </c>
    </row>
    <row r="650" spans="1:2" x14ac:dyDescent="0.2">
      <c r="A650">
        <v>1140.0999999999999</v>
      </c>
      <c r="B650">
        <f t="shared" si="183"/>
        <v>498</v>
      </c>
    </row>
    <row r="651" spans="1:2" x14ac:dyDescent="0.2">
      <c r="A651">
        <v>1140.0999999999999</v>
      </c>
      <c r="B651">
        <f t="shared" si="183"/>
        <v>548</v>
      </c>
    </row>
    <row r="652" spans="1:2" x14ac:dyDescent="0.2">
      <c r="A652">
        <v>1140.0999999999999</v>
      </c>
      <c r="B652">
        <f t="shared" si="183"/>
        <v>598</v>
      </c>
    </row>
    <row r="653" spans="1:2" x14ac:dyDescent="0.2">
      <c r="A653">
        <v>1140.0999999999999</v>
      </c>
      <c r="B653">
        <f t="shared" si="183"/>
        <v>648</v>
      </c>
    </row>
    <row r="654" spans="1:2" x14ac:dyDescent="0.2">
      <c r="A654">
        <v>1140.0999999999999</v>
      </c>
      <c r="B654">
        <f t="shared" si="183"/>
        <v>698</v>
      </c>
    </row>
    <row r="655" spans="1:2" x14ac:dyDescent="0.2">
      <c r="A655">
        <v>1140.0999999999999</v>
      </c>
      <c r="B655">
        <f t="shared" si="183"/>
        <v>748</v>
      </c>
    </row>
    <row r="656" spans="1:2" x14ac:dyDescent="0.2">
      <c r="A656">
        <v>1140.0999999999999</v>
      </c>
      <c r="B656">
        <f t="shared" si="183"/>
        <v>798</v>
      </c>
    </row>
    <row r="657" spans="1:2" x14ac:dyDescent="0.2">
      <c r="A657">
        <v>1140.0999999999999</v>
      </c>
      <c r="B657">
        <f t="shared" si="183"/>
        <v>848</v>
      </c>
    </row>
    <row r="658" spans="1:2" x14ac:dyDescent="0.2">
      <c r="A658">
        <v>1140.0999999999999</v>
      </c>
      <c r="B658">
        <f t="shared" si="183"/>
        <v>898</v>
      </c>
    </row>
    <row r="659" spans="1:2" x14ac:dyDescent="0.2">
      <c r="A659">
        <v>1140.0999999999999</v>
      </c>
      <c r="B659">
        <f t="shared" si="183"/>
        <v>948</v>
      </c>
    </row>
    <row r="660" spans="1:2" x14ac:dyDescent="0.2">
      <c r="A660">
        <v>1711.1</v>
      </c>
      <c r="B660">
        <v>298</v>
      </c>
    </row>
    <row r="661" spans="1:2" x14ac:dyDescent="0.2">
      <c r="A661">
        <v>1711.1</v>
      </c>
      <c r="B661">
        <f t="shared" ref="B661:B673" si="184">B660+50</f>
        <v>348</v>
      </c>
    </row>
    <row r="662" spans="1:2" x14ac:dyDescent="0.2">
      <c r="A662">
        <v>1711.1</v>
      </c>
      <c r="B662">
        <f t="shared" si="184"/>
        <v>398</v>
      </c>
    </row>
    <row r="663" spans="1:2" x14ac:dyDescent="0.2">
      <c r="A663">
        <v>1711.1</v>
      </c>
      <c r="B663">
        <f t="shared" si="184"/>
        <v>448</v>
      </c>
    </row>
    <row r="664" spans="1:2" x14ac:dyDescent="0.2">
      <c r="A664">
        <v>1711.1</v>
      </c>
      <c r="B664">
        <f t="shared" si="184"/>
        <v>498</v>
      </c>
    </row>
    <row r="665" spans="1:2" x14ac:dyDescent="0.2">
      <c r="A665">
        <v>1711.1</v>
      </c>
      <c r="B665">
        <f t="shared" si="184"/>
        <v>548</v>
      </c>
    </row>
    <row r="666" spans="1:2" x14ac:dyDescent="0.2">
      <c r="A666">
        <v>1711.1</v>
      </c>
      <c r="B666">
        <f t="shared" si="184"/>
        <v>598</v>
      </c>
    </row>
    <row r="667" spans="1:2" x14ac:dyDescent="0.2">
      <c r="A667">
        <v>1711.1</v>
      </c>
      <c r="B667">
        <f t="shared" si="184"/>
        <v>648</v>
      </c>
    </row>
    <row r="668" spans="1:2" x14ac:dyDescent="0.2">
      <c r="A668">
        <v>1711.1</v>
      </c>
      <c r="B668">
        <f t="shared" si="184"/>
        <v>698</v>
      </c>
    </row>
    <row r="669" spans="1:2" x14ac:dyDescent="0.2">
      <c r="A669">
        <v>1711.1</v>
      </c>
      <c r="B669">
        <f t="shared" si="184"/>
        <v>748</v>
      </c>
    </row>
    <row r="670" spans="1:2" x14ac:dyDescent="0.2">
      <c r="A670">
        <v>1711.1</v>
      </c>
      <c r="B670">
        <f t="shared" si="184"/>
        <v>798</v>
      </c>
    </row>
    <row r="671" spans="1:2" x14ac:dyDescent="0.2">
      <c r="A671">
        <v>1711.1</v>
      </c>
      <c r="B671">
        <f t="shared" si="184"/>
        <v>848</v>
      </c>
    </row>
    <row r="672" spans="1:2" x14ac:dyDescent="0.2">
      <c r="A672">
        <v>1711.1</v>
      </c>
      <c r="B672">
        <f t="shared" si="184"/>
        <v>898</v>
      </c>
    </row>
    <row r="673" spans="1:62" x14ac:dyDescent="0.2">
      <c r="A673">
        <v>1711.1</v>
      </c>
      <c r="B673">
        <f t="shared" si="184"/>
        <v>948</v>
      </c>
    </row>
    <row r="675" spans="1:62" x14ac:dyDescent="0.2">
      <c r="A675" s="1" t="s">
        <v>109</v>
      </c>
      <c r="B675" s="63" t="s">
        <v>79</v>
      </c>
      <c r="C675" s="63"/>
      <c r="D675" s="63"/>
      <c r="E675" s="63"/>
      <c r="F675" s="63"/>
      <c r="G675" s="63"/>
      <c r="H675" s="63"/>
      <c r="I675" s="63"/>
      <c r="J675" s="63"/>
      <c r="K675" s="63"/>
      <c r="L675" s="63"/>
      <c r="M675" s="63"/>
      <c r="N675" s="63"/>
      <c r="O675" s="63"/>
      <c r="P675" s="63"/>
      <c r="Q675" s="63"/>
      <c r="R675" s="63"/>
      <c r="S675" s="63"/>
      <c r="T675" s="63"/>
      <c r="V675" s="63" t="s">
        <v>98</v>
      </c>
      <c r="W675" s="63"/>
      <c r="X675" s="63"/>
      <c r="Y675" s="63"/>
      <c r="Z675" s="63"/>
      <c r="AA675" s="63"/>
      <c r="AB675" s="63"/>
      <c r="AC675" s="63"/>
      <c r="AD675" s="63"/>
      <c r="AE675" s="63"/>
      <c r="AF675" s="63"/>
      <c r="AG675" s="63"/>
      <c r="AH675" s="63"/>
      <c r="AI675" s="63"/>
      <c r="AJ675" s="63"/>
      <c r="AK675" s="63"/>
      <c r="AL675" s="63"/>
      <c r="AM675" s="63"/>
      <c r="AO675" s="63" t="s">
        <v>99</v>
      </c>
      <c r="AP675" s="63"/>
      <c r="AQ675" s="63"/>
      <c r="AR675" s="63"/>
      <c r="AS675" s="63"/>
      <c r="AT675" s="63"/>
      <c r="AU675" s="63"/>
      <c r="AV675" s="63"/>
      <c r="AW675" s="63"/>
      <c r="AX675" s="63"/>
      <c r="AY675" s="63"/>
      <c r="AZ675" s="63"/>
      <c r="BA675" s="63"/>
      <c r="BB675" s="63"/>
      <c r="BC675" s="63"/>
      <c r="BD675" s="63"/>
      <c r="BE675" s="63"/>
      <c r="BF675" s="63"/>
      <c r="BH675" s="63" t="s">
        <v>68</v>
      </c>
      <c r="BI675" s="63"/>
      <c r="BJ675" s="63"/>
    </row>
    <row r="676" spans="1:62" ht="17" thickBot="1" x14ac:dyDescent="0.25">
      <c r="A676" s="32" t="s">
        <v>96</v>
      </c>
      <c r="B676" s="32" t="s">
        <v>97</v>
      </c>
      <c r="C676" s="13" t="s">
        <v>0</v>
      </c>
      <c r="D676" s="13" t="s">
        <v>1</v>
      </c>
      <c r="E676" s="13" t="s">
        <v>2</v>
      </c>
      <c r="F676" s="13" t="s">
        <v>3</v>
      </c>
      <c r="G676" s="13" t="s">
        <v>4</v>
      </c>
      <c r="H676" s="13" t="s">
        <v>5</v>
      </c>
      <c r="I676" s="13" t="s">
        <v>6</v>
      </c>
      <c r="J676" s="13" t="s">
        <v>7</v>
      </c>
      <c r="K676" s="13" t="s">
        <v>8</v>
      </c>
      <c r="L676" s="13" t="s">
        <v>9</v>
      </c>
      <c r="M676" s="13" t="s">
        <v>10</v>
      </c>
      <c r="N676" s="13" t="s">
        <v>11</v>
      </c>
      <c r="O676" s="13" t="s">
        <v>12</v>
      </c>
      <c r="P676" s="13" t="s">
        <v>13</v>
      </c>
      <c r="Q676" s="13" t="s">
        <v>14</v>
      </c>
      <c r="R676" s="13" t="s">
        <v>15</v>
      </c>
      <c r="S676" s="13" t="s">
        <v>16</v>
      </c>
      <c r="T676" s="13" t="s">
        <v>17</v>
      </c>
      <c r="V676" s="13" t="s">
        <v>0</v>
      </c>
      <c r="W676" s="13" t="s">
        <v>1</v>
      </c>
      <c r="X676" s="13" t="s">
        <v>2</v>
      </c>
      <c r="Y676" s="13" t="s">
        <v>3</v>
      </c>
      <c r="Z676" s="13" t="s">
        <v>4</v>
      </c>
      <c r="AA676" s="13" t="s">
        <v>5</v>
      </c>
      <c r="AB676" s="13" t="s">
        <v>6</v>
      </c>
      <c r="AC676" s="13" t="s">
        <v>7</v>
      </c>
      <c r="AD676" s="13" t="s">
        <v>8</v>
      </c>
      <c r="AE676" s="13" t="s">
        <v>9</v>
      </c>
      <c r="AF676" s="13" t="s">
        <v>10</v>
      </c>
      <c r="AG676" s="13" t="s">
        <v>11</v>
      </c>
      <c r="AH676" s="13" t="s">
        <v>12</v>
      </c>
      <c r="AI676" s="13" t="s">
        <v>13</v>
      </c>
      <c r="AJ676" s="13" t="s">
        <v>14</v>
      </c>
      <c r="AK676" s="13" t="s">
        <v>15</v>
      </c>
      <c r="AL676" s="13" t="s">
        <v>16</v>
      </c>
      <c r="AM676" s="13" t="s">
        <v>17</v>
      </c>
      <c r="AO676" s="13" t="s">
        <v>0</v>
      </c>
      <c r="AP676" s="13" t="s">
        <v>1</v>
      </c>
      <c r="AQ676" s="13" t="s">
        <v>2</v>
      </c>
      <c r="AR676" s="13" t="s">
        <v>3</v>
      </c>
      <c r="AS676" s="13" t="s">
        <v>4</v>
      </c>
      <c r="AT676" s="13" t="s">
        <v>5</v>
      </c>
      <c r="AU676" s="13" t="s">
        <v>6</v>
      </c>
      <c r="AV676" s="13" t="s">
        <v>7</v>
      </c>
      <c r="AW676" s="13" t="s">
        <v>8</v>
      </c>
      <c r="AX676" s="13" t="s">
        <v>9</v>
      </c>
      <c r="AY676" s="13" t="s">
        <v>10</v>
      </c>
      <c r="AZ676" s="13" t="s">
        <v>11</v>
      </c>
      <c r="BA676" s="13" t="s">
        <v>12</v>
      </c>
      <c r="BB676" s="13" t="s">
        <v>13</v>
      </c>
      <c r="BC676" s="13" t="s">
        <v>14</v>
      </c>
      <c r="BD676" s="13" t="s">
        <v>15</v>
      </c>
      <c r="BE676" s="13" t="s">
        <v>16</v>
      </c>
      <c r="BF676" s="13" t="s">
        <v>17</v>
      </c>
      <c r="BH676" s="35" t="s">
        <v>96</v>
      </c>
      <c r="BI676" s="35" t="s">
        <v>97</v>
      </c>
      <c r="BJ676" s="35" t="s">
        <v>78</v>
      </c>
    </row>
    <row r="677" spans="1:62" x14ac:dyDescent="0.2">
      <c r="A677">
        <v>0.1</v>
      </c>
      <c r="B677">
        <v>298</v>
      </c>
      <c r="BH677">
        <v>0.1</v>
      </c>
      <c r="BI677">
        <v>298</v>
      </c>
    </row>
    <row r="678" spans="1:62" x14ac:dyDescent="0.2">
      <c r="A678">
        <v>0.1</v>
      </c>
      <c r="B678">
        <f t="shared" ref="B678:B690" si="185">B677+50</f>
        <v>348</v>
      </c>
      <c r="BH678">
        <v>0.1</v>
      </c>
      <c r="BI678">
        <f t="shared" ref="BI678:BI690" si="186">BI677+50</f>
        <v>348</v>
      </c>
    </row>
    <row r="679" spans="1:62" x14ac:dyDescent="0.2">
      <c r="A679">
        <v>0.1</v>
      </c>
      <c r="B679">
        <f t="shared" si="185"/>
        <v>398</v>
      </c>
      <c r="BH679">
        <v>0.1</v>
      </c>
      <c r="BI679">
        <f t="shared" si="186"/>
        <v>398</v>
      </c>
    </row>
    <row r="680" spans="1:62" x14ac:dyDescent="0.2">
      <c r="A680">
        <v>0.1</v>
      </c>
      <c r="B680">
        <f t="shared" si="185"/>
        <v>448</v>
      </c>
      <c r="BH680">
        <v>0.1</v>
      </c>
      <c r="BI680">
        <f t="shared" si="186"/>
        <v>448</v>
      </c>
    </row>
    <row r="681" spans="1:62" x14ac:dyDescent="0.2">
      <c r="A681">
        <v>0.1</v>
      </c>
      <c r="B681">
        <f t="shared" si="185"/>
        <v>498</v>
      </c>
      <c r="BH681">
        <v>0.1</v>
      </c>
      <c r="BI681">
        <f t="shared" si="186"/>
        <v>498</v>
      </c>
    </row>
    <row r="682" spans="1:62" x14ac:dyDescent="0.2">
      <c r="A682">
        <v>0.1</v>
      </c>
      <c r="B682">
        <f t="shared" si="185"/>
        <v>548</v>
      </c>
      <c r="BH682">
        <v>0.1</v>
      </c>
      <c r="BI682">
        <f t="shared" si="186"/>
        <v>548</v>
      </c>
    </row>
    <row r="683" spans="1:62" x14ac:dyDescent="0.2">
      <c r="A683">
        <v>0.1</v>
      </c>
      <c r="B683">
        <f t="shared" si="185"/>
        <v>598</v>
      </c>
      <c r="BH683">
        <v>0.1</v>
      </c>
      <c r="BI683">
        <f t="shared" si="186"/>
        <v>598</v>
      </c>
    </row>
    <row r="684" spans="1:62" x14ac:dyDescent="0.2">
      <c r="A684">
        <v>0.1</v>
      </c>
      <c r="B684">
        <f t="shared" si="185"/>
        <v>648</v>
      </c>
      <c r="BH684">
        <v>0.1</v>
      </c>
      <c r="BI684">
        <f t="shared" si="186"/>
        <v>648</v>
      </c>
    </row>
    <row r="685" spans="1:62" x14ac:dyDescent="0.2">
      <c r="A685">
        <v>0.1</v>
      </c>
      <c r="B685">
        <f t="shared" si="185"/>
        <v>698</v>
      </c>
      <c r="BH685">
        <v>0.1</v>
      </c>
      <c r="BI685">
        <f t="shared" si="186"/>
        <v>698</v>
      </c>
    </row>
    <row r="686" spans="1:62" x14ac:dyDescent="0.2">
      <c r="A686">
        <v>0.1</v>
      </c>
      <c r="B686">
        <f t="shared" si="185"/>
        <v>748</v>
      </c>
      <c r="BH686">
        <v>0.1</v>
      </c>
      <c r="BI686">
        <f t="shared" si="186"/>
        <v>748</v>
      </c>
    </row>
    <row r="687" spans="1:62" x14ac:dyDescent="0.2">
      <c r="A687">
        <v>0.1</v>
      </c>
      <c r="B687">
        <f t="shared" si="185"/>
        <v>798</v>
      </c>
      <c r="BH687">
        <v>0.1</v>
      </c>
      <c r="BI687">
        <f t="shared" si="186"/>
        <v>798</v>
      </c>
    </row>
    <row r="688" spans="1:62" x14ac:dyDescent="0.2">
      <c r="A688">
        <v>0.1</v>
      </c>
      <c r="B688">
        <f t="shared" si="185"/>
        <v>848</v>
      </c>
      <c r="BH688">
        <v>0.1</v>
      </c>
      <c r="BI688">
        <f t="shared" si="186"/>
        <v>848</v>
      </c>
    </row>
    <row r="689" spans="1:61" x14ac:dyDescent="0.2">
      <c r="A689">
        <v>0.1</v>
      </c>
      <c r="B689">
        <f t="shared" si="185"/>
        <v>898</v>
      </c>
      <c r="BH689">
        <v>0.1</v>
      </c>
      <c r="BI689">
        <f t="shared" si="186"/>
        <v>898</v>
      </c>
    </row>
    <row r="690" spans="1:61" x14ac:dyDescent="0.2">
      <c r="A690">
        <v>0.1</v>
      </c>
      <c r="B690">
        <f t="shared" si="185"/>
        <v>948</v>
      </c>
      <c r="BH690">
        <v>0.1</v>
      </c>
      <c r="BI690">
        <f t="shared" si="186"/>
        <v>948</v>
      </c>
    </row>
    <row r="691" spans="1:61" x14ac:dyDescent="0.2">
      <c r="A691">
        <v>570.1</v>
      </c>
      <c r="B691">
        <v>298</v>
      </c>
      <c r="BH691">
        <v>570.1</v>
      </c>
      <c r="BI691">
        <v>298</v>
      </c>
    </row>
    <row r="692" spans="1:61" x14ac:dyDescent="0.2">
      <c r="A692">
        <v>570.1</v>
      </c>
      <c r="B692">
        <f t="shared" ref="B692:B704" si="187">B691+50</f>
        <v>348</v>
      </c>
      <c r="BH692">
        <v>570.1</v>
      </c>
      <c r="BI692">
        <f t="shared" ref="BI692:BI704" si="188">BI691+50</f>
        <v>348</v>
      </c>
    </row>
    <row r="693" spans="1:61" x14ac:dyDescent="0.2">
      <c r="A693">
        <v>570.1</v>
      </c>
      <c r="B693">
        <f t="shared" si="187"/>
        <v>398</v>
      </c>
      <c r="BH693">
        <v>570.1</v>
      </c>
      <c r="BI693">
        <f t="shared" si="188"/>
        <v>398</v>
      </c>
    </row>
    <row r="694" spans="1:61" x14ac:dyDescent="0.2">
      <c r="A694">
        <v>570.1</v>
      </c>
      <c r="B694">
        <f t="shared" si="187"/>
        <v>448</v>
      </c>
      <c r="BH694">
        <v>570.1</v>
      </c>
      <c r="BI694">
        <f t="shared" si="188"/>
        <v>448</v>
      </c>
    </row>
    <row r="695" spans="1:61" x14ac:dyDescent="0.2">
      <c r="A695">
        <v>570.1</v>
      </c>
      <c r="B695">
        <f t="shared" si="187"/>
        <v>498</v>
      </c>
      <c r="BH695">
        <v>570.1</v>
      </c>
      <c r="BI695">
        <f t="shared" si="188"/>
        <v>498</v>
      </c>
    </row>
    <row r="696" spans="1:61" x14ac:dyDescent="0.2">
      <c r="A696">
        <v>570.1</v>
      </c>
      <c r="B696">
        <f t="shared" si="187"/>
        <v>548</v>
      </c>
      <c r="BH696">
        <v>570.1</v>
      </c>
      <c r="BI696">
        <f t="shared" si="188"/>
        <v>548</v>
      </c>
    </row>
    <row r="697" spans="1:61" x14ac:dyDescent="0.2">
      <c r="A697">
        <v>570.1</v>
      </c>
      <c r="B697">
        <f t="shared" si="187"/>
        <v>598</v>
      </c>
      <c r="BH697">
        <v>570.1</v>
      </c>
      <c r="BI697">
        <f t="shared" si="188"/>
        <v>598</v>
      </c>
    </row>
    <row r="698" spans="1:61" x14ac:dyDescent="0.2">
      <c r="A698">
        <v>570.1</v>
      </c>
      <c r="B698">
        <f t="shared" si="187"/>
        <v>648</v>
      </c>
      <c r="BH698">
        <v>570.1</v>
      </c>
      <c r="BI698">
        <f t="shared" si="188"/>
        <v>648</v>
      </c>
    </row>
    <row r="699" spans="1:61" x14ac:dyDescent="0.2">
      <c r="A699">
        <v>570.1</v>
      </c>
      <c r="B699">
        <f t="shared" si="187"/>
        <v>698</v>
      </c>
      <c r="BH699">
        <v>570.1</v>
      </c>
      <c r="BI699">
        <f t="shared" si="188"/>
        <v>698</v>
      </c>
    </row>
    <row r="700" spans="1:61" x14ac:dyDescent="0.2">
      <c r="A700">
        <v>570.1</v>
      </c>
      <c r="B700">
        <f t="shared" si="187"/>
        <v>748</v>
      </c>
      <c r="BH700">
        <v>570.1</v>
      </c>
      <c r="BI700">
        <f t="shared" si="188"/>
        <v>748</v>
      </c>
    </row>
    <row r="701" spans="1:61" x14ac:dyDescent="0.2">
      <c r="A701">
        <v>570.1</v>
      </c>
      <c r="B701">
        <f t="shared" si="187"/>
        <v>798</v>
      </c>
      <c r="BH701">
        <v>570.1</v>
      </c>
      <c r="BI701">
        <f t="shared" si="188"/>
        <v>798</v>
      </c>
    </row>
    <row r="702" spans="1:61" x14ac:dyDescent="0.2">
      <c r="A702">
        <v>570.1</v>
      </c>
      <c r="B702">
        <f t="shared" si="187"/>
        <v>848</v>
      </c>
      <c r="BH702">
        <v>570.1</v>
      </c>
      <c r="BI702">
        <f t="shared" si="188"/>
        <v>848</v>
      </c>
    </row>
    <row r="703" spans="1:61" x14ac:dyDescent="0.2">
      <c r="A703">
        <v>570.1</v>
      </c>
      <c r="B703">
        <f t="shared" si="187"/>
        <v>898</v>
      </c>
      <c r="BH703">
        <v>570.1</v>
      </c>
      <c r="BI703">
        <f t="shared" si="188"/>
        <v>898</v>
      </c>
    </row>
    <row r="704" spans="1:61" x14ac:dyDescent="0.2">
      <c r="A704">
        <v>570.1</v>
      </c>
      <c r="B704">
        <f t="shared" si="187"/>
        <v>948</v>
      </c>
      <c r="BH704">
        <v>570.1</v>
      </c>
      <c r="BI704">
        <f t="shared" si="188"/>
        <v>948</v>
      </c>
    </row>
    <row r="705" spans="1:61" x14ac:dyDescent="0.2">
      <c r="A705">
        <v>1140.0999999999999</v>
      </c>
      <c r="B705">
        <v>298</v>
      </c>
      <c r="BH705">
        <v>1140.0999999999999</v>
      </c>
      <c r="BI705">
        <v>293</v>
      </c>
    </row>
    <row r="706" spans="1:61" x14ac:dyDescent="0.2">
      <c r="A706">
        <v>1140.0999999999999</v>
      </c>
      <c r="B706">
        <f t="shared" ref="B706:B718" si="189">B705+50</f>
        <v>348</v>
      </c>
      <c r="BH706">
        <v>1140.0999999999999</v>
      </c>
      <c r="BI706">
        <f t="shared" ref="BI706:BI718" si="190">BI705+50</f>
        <v>343</v>
      </c>
    </row>
    <row r="707" spans="1:61" x14ac:dyDescent="0.2">
      <c r="A707">
        <v>1140.0999999999999</v>
      </c>
      <c r="B707">
        <f t="shared" si="189"/>
        <v>398</v>
      </c>
      <c r="BH707">
        <v>1140.0999999999999</v>
      </c>
      <c r="BI707">
        <f t="shared" si="190"/>
        <v>393</v>
      </c>
    </row>
    <row r="708" spans="1:61" x14ac:dyDescent="0.2">
      <c r="A708">
        <v>1140.0999999999999</v>
      </c>
      <c r="B708">
        <f t="shared" si="189"/>
        <v>448</v>
      </c>
      <c r="BH708">
        <v>1140.0999999999999</v>
      </c>
      <c r="BI708">
        <f t="shared" si="190"/>
        <v>443</v>
      </c>
    </row>
    <row r="709" spans="1:61" x14ac:dyDescent="0.2">
      <c r="A709">
        <v>1140.0999999999999</v>
      </c>
      <c r="B709">
        <f t="shared" si="189"/>
        <v>498</v>
      </c>
      <c r="BH709">
        <v>1140.0999999999999</v>
      </c>
      <c r="BI709">
        <f t="shared" si="190"/>
        <v>493</v>
      </c>
    </row>
    <row r="710" spans="1:61" x14ac:dyDescent="0.2">
      <c r="A710">
        <v>1140.0999999999999</v>
      </c>
      <c r="B710">
        <f t="shared" si="189"/>
        <v>548</v>
      </c>
      <c r="BH710">
        <v>1140.0999999999999</v>
      </c>
      <c r="BI710">
        <f t="shared" si="190"/>
        <v>543</v>
      </c>
    </row>
    <row r="711" spans="1:61" x14ac:dyDescent="0.2">
      <c r="A711">
        <v>1140.0999999999999</v>
      </c>
      <c r="B711">
        <f t="shared" si="189"/>
        <v>598</v>
      </c>
      <c r="BH711">
        <v>1140.0999999999999</v>
      </c>
      <c r="BI711">
        <f t="shared" si="190"/>
        <v>593</v>
      </c>
    </row>
    <row r="712" spans="1:61" x14ac:dyDescent="0.2">
      <c r="A712">
        <v>1140.0999999999999</v>
      </c>
      <c r="B712">
        <f t="shared" si="189"/>
        <v>648</v>
      </c>
      <c r="BH712">
        <v>1140.0999999999999</v>
      </c>
      <c r="BI712">
        <f t="shared" si="190"/>
        <v>643</v>
      </c>
    </row>
    <row r="713" spans="1:61" x14ac:dyDescent="0.2">
      <c r="A713">
        <v>1140.0999999999999</v>
      </c>
      <c r="B713">
        <f t="shared" si="189"/>
        <v>698</v>
      </c>
      <c r="BH713">
        <v>1140.0999999999999</v>
      </c>
      <c r="BI713">
        <f t="shared" si="190"/>
        <v>693</v>
      </c>
    </row>
    <row r="714" spans="1:61" x14ac:dyDescent="0.2">
      <c r="A714">
        <v>1140.0999999999999</v>
      </c>
      <c r="B714">
        <f t="shared" si="189"/>
        <v>748</v>
      </c>
      <c r="BH714">
        <v>1140.0999999999999</v>
      </c>
      <c r="BI714">
        <f t="shared" si="190"/>
        <v>743</v>
      </c>
    </row>
    <row r="715" spans="1:61" x14ac:dyDescent="0.2">
      <c r="A715">
        <v>1140.0999999999999</v>
      </c>
      <c r="B715">
        <f t="shared" si="189"/>
        <v>798</v>
      </c>
      <c r="BH715">
        <v>1140.0999999999999</v>
      </c>
      <c r="BI715">
        <f t="shared" si="190"/>
        <v>793</v>
      </c>
    </row>
    <row r="716" spans="1:61" x14ac:dyDescent="0.2">
      <c r="A716">
        <v>1140.0999999999999</v>
      </c>
      <c r="B716">
        <f t="shared" si="189"/>
        <v>848</v>
      </c>
      <c r="BH716">
        <v>1140.0999999999999</v>
      </c>
      <c r="BI716">
        <f t="shared" si="190"/>
        <v>843</v>
      </c>
    </row>
    <row r="717" spans="1:61" x14ac:dyDescent="0.2">
      <c r="A717">
        <v>1140.0999999999999</v>
      </c>
      <c r="B717">
        <f t="shared" si="189"/>
        <v>898</v>
      </c>
      <c r="BH717">
        <v>1140.0999999999999</v>
      </c>
      <c r="BI717">
        <f t="shared" si="190"/>
        <v>893</v>
      </c>
    </row>
    <row r="718" spans="1:61" x14ac:dyDescent="0.2">
      <c r="A718">
        <v>1140.0999999999999</v>
      </c>
      <c r="B718">
        <f t="shared" si="189"/>
        <v>948</v>
      </c>
      <c r="BH718">
        <v>1140.0999999999999</v>
      </c>
      <c r="BI718">
        <f t="shared" si="190"/>
        <v>943</v>
      </c>
    </row>
    <row r="719" spans="1:61" x14ac:dyDescent="0.2">
      <c r="A719">
        <v>1711.1</v>
      </c>
      <c r="B719">
        <v>298</v>
      </c>
      <c r="BH719">
        <v>1711.1</v>
      </c>
      <c r="BI719">
        <v>293</v>
      </c>
    </row>
    <row r="720" spans="1:61" x14ac:dyDescent="0.2">
      <c r="A720">
        <v>1711.1</v>
      </c>
      <c r="B720">
        <f t="shared" ref="B720:B732" si="191">B719+50</f>
        <v>348</v>
      </c>
      <c r="BH720">
        <v>1711.1</v>
      </c>
      <c r="BI720">
        <f t="shared" ref="BI720:BI732" si="192">BI719+50</f>
        <v>343</v>
      </c>
    </row>
    <row r="721" spans="1:61" x14ac:dyDescent="0.2">
      <c r="A721">
        <v>1711.1</v>
      </c>
      <c r="B721">
        <f t="shared" si="191"/>
        <v>398</v>
      </c>
      <c r="BH721">
        <v>1711.1</v>
      </c>
      <c r="BI721">
        <f t="shared" si="192"/>
        <v>393</v>
      </c>
    </row>
    <row r="722" spans="1:61" x14ac:dyDescent="0.2">
      <c r="A722">
        <v>1711.1</v>
      </c>
      <c r="B722">
        <f t="shared" si="191"/>
        <v>448</v>
      </c>
      <c r="BH722">
        <v>1711.1</v>
      </c>
      <c r="BI722">
        <f t="shared" si="192"/>
        <v>443</v>
      </c>
    </row>
    <row r="723" spans="1:61" x14ac:dyDescent="0.2">
      <c r="A723">
        <v>1711.1</v>
      </c>
      <c r="B723">
        <f t="shared" si="191"/>
        <v>498</v>
      </c>
      <c r="BH723">
        <v>1711.1</v>
      </c>
      <c r="BI723">
        <f t="shared" si="192"/>
        <v>493</v>
      </c>
    </row>
    <row r="724" spans="1:61" x14ac:dyDescent="0.2">
      <c r="A724">
        <v>1711.1</v>
      </c>
      <c r="B724">
        <f t="shared" si="191"/>
        <v>548</v>
      </c>
      <c r="BH724">
        <v>1711.1</v>
      </c>
      <c r="BI724">
        <f t="shared" si="192"/>
        <v>543</v>
      </c>
    </row>
    <row r="725" spans="1:61" x14ac:dyDescent="0.2">
      <c r="A725">
        <v>1711.1</v>
      </c>
      <c r="B725">
        <f t="shared" si="191"/>
        <v>598</v>
      </c>
      <c r="BH725">
        <v>1711.1</v>
      </c>
      <c r="BI725">
        <f t="shared" si="192"/>
        <v>593</v>
      </c>
    </row>
    <row r="726" spans="1:61" x14ac:dyDescent="0.2">
      <c r="A726">
        <v>1711.1</v>
      </c>
      <c r="B726">
        <f t="shared" si="191"/>
        <v>648</v>
      </c>
      <c r="BH726">
        <v>1711.1</v>
      </c>
      <c r="BI726">
        <f t="shared" si="192"/>
        <v>643</v>
      </c>
    </row>
    <row r="727" spans="1:61" x14ac:dyDescent="0.2">
      <c r="A727">
        <v>1711.1</v>
      </c>
      <c r="B727">
        <f t="shared" si="191"/>
        <v>698</v>
      </c>
      <c r="BH727">
        <v>1711.1</v>
      </c>
      <c r="BI727">
        <f t="shared" si="192"/>
        <v>693</v>
      </c>
    </row>
    <row r="728" spans="1:61" x14ac:dyDescent="0.2">
      <c r="A728">
        <v>1711.1</v>
      </c>
      <c r="B728">
        <f t="shared" si="191"/>
        <v>748</v>
      </c>
      <c r="BH728">
        <v>1711.1</v>
      </c>
      <c r="BI728">
        <f t="shared" si="192"/>
        <v>743</v>
      </c>
    </row>
    <row r="729" spans="1:61" x14ac:dyDescent="0.2">
      <c r="A729">
        <v>1711.1</v>
      </c>
      <c r="B729">
        <f t="shared" si="191"/>
        <v>798</v>
      </c>
      <c r="BH729">
        <v>1711.1</v>
      </c>
      <c r="BI729">
        <f t="shared" si="192"/>
        <v>793</v>
      </c>
    </row>
    <row r="730" spans="1:61" x14ac:dyDescent="0.2">
      <c r="A730">
        <v>1711.1</v>
      </c>
      <c r="B730">
        <f t="shared" si="191"/>
        <v>848</v>
      </c>
      <c r="BH730">
        <v>1711.1</v>
      </c>
      <c r="BI730">
        <f t="shared" si="192"/>
        <v>843</v>
      </c>
    </row>
    <row r="731" spans="1:61" x14ac:dyDescent="0.2">
      <c r="A731">
        <v>1711.1</v>
      </c>
      <c r="B731">
        <f t="shared" si="191"/>
        <v>898</v>
      </c>
      <c r="BH731">
        <v>1711.1</v>
      </c>
      <c r="BI731">
        <f t="shared" si="192"/>
        <v>893</v>
      </c>
    </row>
    <row r="732" spans="1:61" x14ac:dyDescent="0.2">
      <c r="A732">
        <v>1711.1</v>
      </c>
      <c r="B732">
        <f t="shared" si="191"/>
        <v>948</v>
      </c>
      <c r="BH732">
        <v>1711.1</v>
      </c>
      <c r="BI732">
        <f t="shared" si="192"/>
        <v>943</v>
      </c>
    </row>
    <row r="734" spans="1:61" ht="20" x14ac:dyDescent="0.25">
      <c r="A734" s="1" t="s">
        <v>110</v>
      </c>
      <c r="B734" s="63" t="s">
        <v>86</v>
      </c>
      <c r="C734" s="63"/>
      <c r="D734" s="63"/>
      <c r="E734" s="63"/>
      <c r="F734" s="63"/>
      <c r="G734" s="63"/>
      <c r="H734" s="63"/>
      <c r="I734" s="63"/>
      <c r="J734" s="63"/>
      <c r="K734" s="63"/>
      <c r="L734" s="63"/>
      <c r="M734" s="63"/>
      <c r="N734" s="63"/>
      <c r="O734" s="63"/>
      <c r="P734" s="63"/>
      <c r="Q734" s="63"/>
      <c r="R734" s="63"/>
      <c r="S734" s="63"/>
      <c r="T734" s="63"/>
      <c r="V734" s="63" t="s">
        <v>67</v>
      </c>
      <c r="W734" s="63"/>
      <c r="X734" s="63"/>
      <c r="Y734" s="63"/>
      <c r="Z734" s="63"/>
      <c r="AA734" s="63"/>
      <c r="AB734" s="63"/>
      <c r="AC734" s="63"/>
      <c r="AD734" s="63"/>
      <c r="AE734" s="63"/>
      <c r="AF734" s="63"/>
      <c r="AG734" s="63"/>
      <c r="AH734" s="63"/>
      <c r="AI734" s="63"/>
      <c r="AJ734" s="63"/>
      <c r="AK734" s="63"/>
      <c r="AL734" s="63"/>
      <c r="AM734" s="63"/>
      <c r="AO734" s="63" t="s">
        <v>68</v>
      </c>
      <c r="AP734" s="63"/>
      <c r="AQ734" s="63"/>
    </row>
    <row r="735" spans="1:61" ht="19" thickBot="1" x14ac:dyDescent="0.25">
      <c r="A735" s="32" t="s">
        <v>96</v>
      </c>
      <c r="B735" s="32" t="s">
        <v>97</v>
      </c>
      <c r="C735" s="13" t="s">
        <v>0</v>
      </c>
      <c r="D735" s="13" t="s">
        <v>1</v>
      </c>
      <c r="E735" s="13" t="s">
        <v>2</v>
      </c>
      <c r="F735" s="13" t="s">
        <v>3</v>
      </c>
      <c r="G735" s="13" t="s">
        <v>4</v>
      </c>
      <c r="H735" s="13" t="s">
        <v>5</v>
      </c>
      <c r="I735" s="13" t="s">
        <v>6</v>
      </c>
      <c r="J735" s="13" t="s">
        <v>7</v>
      </c>
      <c r="K735" s="13" t="s">
        <v>8</v>
      </c>
      <c r="L735" s="13" t="s">
        <v>9</v>
      </c>
      <c r="M735" s="13" t="s">
        <v>10</v>
      </c>
      <c r="N735" s="13" t="s">
        <v>11</v>
      </c>
      <c r="O735" s="13" t="s">
        <v>12</v>
      </c>
      <c r="P735" s="13" t="s">
        <v>13</v>
      </c>
      <c r="Q735" s="13" t="s">
        <v>14</v>
      </c>
      <c r="R735" s="13" t="s">
        <v>15</v>
      </c>
      <c r="S735" s="13" t="s">
        <v>16</v>
      </c>
      <c r="T735" s="13" t="s">
        <v>17</v>
      </c>
      <c r="V735" s="13" t="s">
        <v>0</v>
      </c>
      <c r="W735" s="13" t="s">
        <v>1</v>
      </c>
      <c r="X735" s="13" t="s">
        <v>2</v>
      </c>
      <c r="Y735" s="13" t="s">
        <v>3</v>
      </c>
      <c r="Z735" s="13" t="s">
        <v>4</v>
      </c>
      <c r="AA735" s="13" t="s">
        <v>5</v>
      </c>
      <c r="AB735" s="13" t="s">
        <v>6</v>
      </c>
      <c r="AC735" s="13" t="s">
        <v>7</v>
      </c>
      <c r="AD735" s="13" t="s">
        <v>8</v>
      </c>
      <c r="AE735" s="13" t="s">
        <v>9</v>
      </c>
      <c r="AF735" s="13" t="s">
        <v>10</v>
      </c>
      <c r="AG735" s="13" t="s">
        <v>11</v>
      </c>
      <c r="AH735" s="13" t="s">
        <v>12</v>
      </c>
      <c r="AI735" s="13" t="s">
        <v>13</v>
      </c>
      <c r="AJ735" s="13" t="s">
        <v>14</v>
      </c>
      <c r="AK735" s="13" t="s">
        <v>15</v>
      </c>
      <c r="AL735" s="13" t="s">
        <v>16</v>
      </c>
      <c r="AM735" s="13" t="s">
        <v>17</v>
      </c>
      <c r="AO735" s="34" t="s">
        <v>64</v>
      </c>
      <c r="AP735" s="34" t="s">
        <v>65</v>
      </c>
      <c r="AQ735" s="35" t="s">
        <v>85</v>
      </c>
    </row>
    <row r="736" spans="1:61" x14ac:dyDescent="0.2">
      <c r="A736">
        <v>0.1</v>
      </c>
      <c r="B736">
        <v>298</v>
      </c>
      <c r="AO736">
        <v>0.1</v>
      </c>
      <c r="AP736">
        <v>298</v>
      </c>
    </row>
    <row r="737" spans="1:42" x14ac:dyDescent="0.2">
      <c r="A737">
        <v>0.1</v>
      </c>
      <c r="B737">
        <f t="shared" ref="B737:B749" si="193">B736+50</f>
        <v>348</v>
      </c>
      <c r="AO737">
        <v>0.1</v>
      </c>
      <c r="AP737">
        <f t="shared" ref="AP737:AP749" si="194">AP736+50</f>
        <v>348</v>
      </c>
    </row>
    <row r="738" spans="1:42" x14ac:dyDescent="0.2">
      <c r="A738">
        <v>0.1</v>
      </c>
      <c r="B738">
        <f t="shared" si="193"/>
        <v>398</v>
      </c>
      <c r="AO738">
        <v>0.1</v>
      </c>
      <c r="AP738">
        <f t="shared" si="194"/>
        <v>398</v>
      </c>
    </row>
    <row r="739" spans="1:42" x14ac:dyDescent="0.2">
      <c r="A739">
        <v>0.1</v>
      </c>
      <c r="B739">
        <f t="shared" si="193"/>
        <v>448</v>
      </c>
      <c r="AO739">
        <v>0.1</v>
      </c>
      <c r="AP739">
        <f t="shared" si="194"/>
        <v>448</v>
      </c>
    </row>
    <row r="740" spans="1:42" x14ac:dyDescent="0.2">
      <c r="A740">
        <v>0.1</v>
      </c>
      <c r="B740">
        <f t="shared" si="193"/>
        <v>498</v>
      </c>
      <c r="AO740">
        <v>0.1</v>
      </c>
      <c r="AP740">
        <f t="shared" si="194"/>
        <v>498</v>
      </c>
    </row>
    <row r="741" spans="1:42" x14ac:dyDescent="0.2">
      <c r="A741">
        <v>0.1</v>
      </c>
      <c r="B741">
        <f t="shared" si="193"/>
        <v>548</v>
      </c>
      <c r="AO741">
        <v>0.1</v>
      </c>
      <c r="AP741">
        <f t="shared" si="194"/>
        <v>548</v>
      </c>
    </row>
    <row r="742" spans="1:42" x14ac:dyDescent="0.2">
      <c r="A742">
        <v>0.1</v>
      </c>
      <c r="B742">
        <f t="shared" si="193"/>
        <v>598</v>
      </c>
      <c r="AO742">
        <v>0.1</v>
      </c>
      <c r="AP742">
        <f t="shared" si="194"/>
        <v>598</v>
      </c>
    </row>
    <row r="743" spans="1:42" x14ac:dyDescent="0.2">
      <c r="A743">
        <v>0.1</v>
      </c>
      <c r="B743">
        <f t="shared" si="193"/>
        <v>648</v>
      </c>
      <c r="AO743">
        <v>0.1</v>
      </c>
      <c r="AP743">
        <f t="shared" si="194"/>
        <v>648</v>
      </c>
    </row>
    <row r="744" spans="1:42" x14ac:dyDescent="0.2">
      <c r="A744">
        <v>0.1</v>
      </c>
      <c r="B744">
        <f t="shared" si="193"/>
        <v>698</v>
      </c>
      <c r="AO744">
        <v>0.1</v>
      </c>
      <c r="AP744">
        <f t="shared" si="194"/>
        <v>698</v>
      </c>
    </row>
    <row r="745" spans="1:42" x14ac:dyDescent="0.2">
      <c r="A745">
        <v>0.1</v>
      </c>
      <c r="B745">
        <f t="shared" si="193"/>
        <v>748</v>
      </c>
      <c r="AO745">
        <v>0.1</v>
      </c>
      <c r="AP745">
        <f t="shared" si="194"/>
        <v>748</v>
      </c>
    </row>
    <row r="746" spans="1:42" x14ac:dyDescent="0.2">
      <c r="A746">
        <v>0.1</v>
      </c>
      <c r="B746">
        <f t="shared" si="193"/>
        <v>798</v>
      </c>
      <c r="AO746">
        <v>0.1</v>
      </c>
      <c r="AP746">
        <f t="shared" si="194"/>
        <v>798</v>
      </c>
    </row>
    <row r="747" spans="1:42" x14ac:dyDescent="0.2">
      <c r="A747">
        <v>0.1</v>
      </c>
      <c r="B747">
        <f t="shared" si="193"/>
        <v>848</v>
      </c>
      <c r="AO747">
        <v>0.1</v>
      </c>
      <c r="AP747">
        <f t="shared" si="194"/>
        <v>848</v>
      </c>
    </row>
    <row r="748" spans="1:42" x14ac:dyDescent="0.2">
      <c r="A748">
        <v>0.1</v>
      </c>
      <c r="B748">
        <f t="shared" si="193"/>
        <v>898</v>
      </c>
      <c r="AO748">
        <v>0.1</v>
      </c>
      <c r="AP748">
        <f t="shared" si="194"/>
        <v>898</v>
      </c>
    </row>
    <row r="749" spans="1:42" x14ac:dyDescent="0.2">
      <c r="A749">
        <v>0.1</v>
      </c>
      <c r="B749">
        <f t="shared" si="193"/>
        <v>948</v>
      </c>
      <c r="AO749">
        <v>0.1</v>
      </c>
      <c r="AP749">
        <f t="shared" si="194"/>
        <v>948</v>
      </c>
    </row>
    <row r="750" spans="1:42" x14ac:dyDescent="0.2">
      <c r="A750">
        <v>570.1</v>
      </c>
      <c r="B750">
        <v>298</v>
      </c>
      <c r="AO750">
        <v>570.1</v>
      </c>
      <c r="AP750">
        <v>298</v>
      </c>
    </row>
    <row r="751" spans="1:42" x14ac:dyDescent="0.2">
      <c r="A751">
        <v>570.1</v>
      </c>
      <c r="B751">
        <f t="shared" ref="B751:B763" si="195">B750+50</f>
        <v>348</v>
      </c>
      <c r="AO751">
        <v>570.1</v>
      </c>
      <c r="AP751">
        <f t="shared" ref="AP751:AP763" si="196">AP750+50</f>
        <v>348</v>
      </c>
    </row>
    <row r="752" spans="1:42" x14ac:dyDescent="0.2">
      <c r="A752">
        <v>570.1</v>
      </c>
      <c r="B752">
        <f t="shared" si="195"/>
        <v>398</v>
      </c>
      <c r="AO752">
        <v>570.1</v>
      </c>
      <c r="AP752">
        <f t="shared" si="196"/>
        <v>398</v>
      </c>
    </row>
    <row r="753" spans="1:42" x14ac:dyDescent="0.2">
      <c r="A753">
        <v>570.1</v>
      </c>
      <c r="B753">
        <f t="shared" si="195"/>
        <v>448</v>
      </c>
      <c r="AO753">
        <v>570.1</v>
      </c>
      <c r="AP753">
        <f t="shared" si="196"/>
        <v>448</v>
      </c>
    </row>
    <row r="754" spans="1:42" x14ac:dyDescent="0.2">
      <c r="A754">
        <v>570.1</v>
      </c>
      <c r="B754">
        <f t="shared" si="195"/>
        <v>498</v>
      </c>
      <c r="AO754">
        <v>570.1</v>
      </c>
      <c r="AP754">
        <f t="shared" si="196"/>
        <v>498</v>
      </c>
    </row>
    <row r="755" spans="1:42" x14ac:dyDescent="0.2">
      <c r="A755">
        <v>570.1</v>
      </c>
      <c r="B755">
        <f t="shared" si="195"/>
        <v>548</v>
      </c>
      <c r="AO755">
        <v>570.1</v>
      </c>
      <c r="AP755">
        <f t="shared" si="196"/>
        <v>548</v>
      </c>
    </row>
    <row r="756" spans="1:42" x14ac:dyDescent="0.2">
      <c r="A756">
        <v>570.1</v>
      </c>
      <c r="B756">
        <f t="shared" si="195"/>
        <v>598</v>
      </c>
      <c r="AO756">
        <v>570.1</v>
      </c>
      <c r="AP756">
        <f t="shared" si="196"/>
        <v>598</v>
      </c>
    </row>
    <row r="757" spans="1:42" x14ac:dyDescent="0.2">
      <c r="A757">
        <v>570.1</v>
      </c>
      <c r="B757">
        <f t="shared" si="195"/>
        <v>648</v>
      </c>
      <c r="AO757">
        <v>570.1</v>
      </c>
      <c r="AP757">
        <f t="shared" si="196"/>
        <v>648</v>
      </c>
    </row>
    <row r="758" spans="1:42" x14ac:dyDescent="0.2">
      <c r="A758">
        <v>570.1</v>
      </c>
      <c r="B758">
        <f t="shared" si="195"/>
        <v>698</v>
      </c>
      <c r="AO758">
        <v>570.1</v>
      </c>
      <c r="AP758">
        <f t="shared" si="196"/>
        <v>698</v>
      </c>
    </row>
    <row r="759" spans="1:42" x14ac:dyDescent="0.2">
      <c r="A759">
        <v>570.1</v>
      </c>
      <c r="B759">
        <f t="shared" si="195"/>
        <v>748</v>
      </c>
      <c r="AO759">
        <v>570.1</v>
      </c>
      <c r="AP759">
        <f t="shared" si="196"/>
        <v>748</v>
      </c>
    </row>
    <row r="760" spans="1:42" x14ac:dyDescent="0.2">
      <c r="A760">
        <v>570.1</v>
      </c>
      <c r="B760">
        <f t="shared" si="195"/>
        <v>798</v>
      </c>
      <c r="AO760">
        <v>570.1</v>
      </c>
      <c r="AP760">
        <f t="shared" si="196"/>
        <v>798</v>
      </c>
    </row>
    <row r="761" spans="1:42" x14ac:dyDescent="0.2">
      <c r="A761">
        <v>570.1</v>
      </c>
      <c r="B761">
        <f t="shared" si="195"/>
        <v>848</v>
      </c>
      <c r="AO761">
        <v>570.1</v>
      </c>
      <c r="AP761">
        <f t="shared" si="196"/>
        <v>848</v>
      </c>
    </row>
    <row r="762" spans="1:42" x14ac:dyDescent="0.2">
      <c r="A762">
        <v>570.1</v>
      </c>
      <c r="B762">
        <f t="shared" si="195"/>
        <v>898</v>
      </c>
      <c r="AO762">
        <v>570.1</v>
      </c>
      <c r="AP762">
        <f t="shared" si="196"/>
        <v>898</v>
      </c>
    </row>
    <row r="763" spans="1:42" x14ac:dyDescent="0.2">
      <c r="A763">
        <v>570.1</v>
      </c>
      <c r="B763">
        <f t="shared" si="195"/>
        <v>948</v>
      </c>
      <c r="AO763">
        <v>570.1</v>
      </c>
      <c r="AP763">
        <f t="shared" si="196"/>
        <v>948</v>
      </c>
    </row>
    <row r="764" spans="1:42" x14ac:dyDescent="0.2">
      <c r="A764">
        <v>1140.0999999999999</v>
      </c>
      <c r="B764">
        <v>298</v>
      </c>
      <c r="AO764">
        <v>1140.0999999999999</v>
      </c>
      <c r="AP764">
        <v>293</v>
      </c>
    </row>
    <row r="765" spans="1:42" x14ac:dyDescent="0.2">
      <c r="A765">
        <v>1140.0999999999999</v>
      </c>
      <c r="B765">
        <f t="shared" ref="B765:B777" si="197">B764+50</f>
        <v>348</v>
      </c>
      <c r="AO765">
        <v>1140.0999999999999</v>
      </c>
      <c r="AP765">
        <f t="shared" ref="AP765:AP777" si="198">AP764+50</f>
        <v>343</v>
      </c>
    </row>
    <row r="766" spans="1:42" x14ac:dyDescent="0.2">
      <c r="A766">
        <v>1140.0999999999999</v>
      </c>
      <c r="B766">
        <f t="shared" si="197"/>
        <v>398</v>
      </c>
      <c r="AO766">
        <v>1140.0999999999999</v>
      </c>
      <c r="AP766">
        <f t="shared" si="198"/>
        <v>393</v>
      </c>
    </row>
    <row r="767" spans="1:42" x14ac:dyDescent="0.2">
      <c r="A767">
        <v>1140.0999999999999</v>
      </c>
      <c r="B767">
        <f t="shared" si="197"/>
        <v>448</v>
      </c>
      <c r="AO767">
        <v>1140.0999999999999</v>
      </c>
      <c r="AP767">
        <f t="shared" si="198"/>
        <v>443</v>
      </c>
    </row>
    <row r="768" spans="1:42" x14ac:dyDescent="0.2">
      <c r="A768">
        <v>1140.0999999999999</v>
      </c>
      <c r="B768">
        <f t="shared" si="197"/>
        <v>498</v>
      </c>
      <c r="AO768">
        <v>1140.0999999999999</v>
      </c>
      <c r="AP768">
        <f t="shared" si="198"/>
        <v>493</v>
      </c>
    </row>
    <row r="769" spans="1:42" x14ac:dyDescent="0.2">
      <c r="A769">
        <v>1140.0999999999999</v>
      </c>
      <c r="B769">
        <f t="shared" si="197"/>
        <v>548</v>
      </c>
      <c r="AO769">
        <v>1140.0999999999999</v>
      </c>
      <c r="AP769">
        <f t="shared" si="198"/>
        <v>543</v>
      </c>
    </row>
    <row r="770" spans="1:42" x14ac:dyDescent="0.2">
      <c r="A770">
        <v>1140.0999999999999</v>
      </c>
      <c r="B770">
        <f t="shared" si="197"/>
        <v>598</v>
      </c>
      <c r="AO770">
        <v>1140.0999999999999</v>
      </c>
      <c r="AP770">
        <f t="shared" si="198"/>
        <v>593</v>
      </c>
    </row>
    <row r="771" spans="1:42" x14ac:dyDescent="0.2">
      <c r="A771">
        <v>1140.0999999999999</v>
      </c>
      <c r="B771">
        <f t="shared" si="197"/>
        <v>648</v>
      </c>
      <c r="AO771">
        <v>1140.0999999999999</v>
      </c>
      <c r="AP771">
        <f t="shared" si="198"/>
        <v>643</v>
      </c>
    </row>
    <row r="772" spans="1:42" x14ac:dyDescent="0.2">
      <c r="A772">
        <v>1140.0999999999999</v>
      </c>
      <c r="B772">
        <f t="shared" si="197"/>
        <v>698</v>
      </c>
      <c r="AO772">
        <v>1140.0999999999999</v>
      </c>
      <c r="AP772">
        <f t="shared" si="198"/>
        <v>693</v>
      </c>
    </row>
    <row r="773" spans="1:42" x14ac:dyDescent="0.2">
      <c r="A773">
        <v>1140.0999999999999</v>
      </c>
      <c r="B773">
        <f t="shared" si="197"/>
        <v>748</v>
      </c>
      <c r="AO773">
        <v>1140.0999999999999</v>
      </c>
      <c r="AP773">
        <f t="shared" si="198"/>
        <v>743</v>
      </c>
    </row>
    <row r="774" spans="1:42" x14ac:dyDescent="0.2">
      <c r="A774">
        <v>1140.0999999999999</v>
      </c>
      <c r="B774">
        <f t="shared" si="197"/>
        <v>798</v>
      </c>
      <c r="AO774">
        <v>1140.0999999999999</v>
      </c>
      <c r="AP774">
        <f t="shared" si="198"/>
        <v>793</v>
      </c>
    </row>
    <row r="775" spans="1:42" x14ac:dyDescent="0.2">
      <c r="A775">
        <v>1140.0999999999999</v>
      </c>
      <c r="B775">
        <f t="shared" si="197"/>
        <v>848</v>
      </c>
      <c r="AO775">
        <v>1140.0999999999999</v>
      </c>
      <c r="AP775">
        <f t="shared" si="198"/>
        <v>843</v>
      </c>
    </row>
    <row r="776" spans="1:42" x14ac:dyDescent="0.2">
      <c r="A776">
        <v>1140.0999999999999</v>
      </c>
      <c r="B776">
        <f t="shared" si="197"/>
        <v>898</v>
      </c>
      <c r="AO776">
        <v>1140.0999999999999</v>
      </c>
      <c r="AP776">
        <f t="shared" si="198"/>
        <v>893</v>
      </c>
    </row>
    <row r="777" spans="1:42" x14ac:dyDescent="0.2">
      <c r="A777">
        <v>1140.0999999999999</v>
      </c>
      <c r="B777">
        <f t="shared" si="197"/>
        <v>948</v>
      </c>
      <c r="AO777">
        <v>1140.0999999999999</v>
      </c>
      <c r="AP777">
        <f t="shared" si="198"/>
        <v>943</v>
      </c>
    </row>
    <row r="778" spans="1:42" x14ac:dyDescent="0.2">
      <c r="A778">
        <v>1711.1</v>
      </c>
      <c r="B778">
        <v>298</v>
      </c>
      <c r="AO778">
        <v>1711.1</v>
      </c>
      <c r="AP778">
        <v>293</v>
      </c>
    </row>
    <row r="779" spans="1:42" x14ac:dyDescent="0.2">
      <c r="A779">
        <v>1711.1</v>
      </c>
      <c r="B779">
        <f t="shared" ref="B779:B791" si="199">B778+50</f>
        <v>348</v>
      </c>
      <c r="AO779">
        <v>1711.1</v>
      </c>
      <c r="AP779">
        <f t="shared" ref="AP779:AP791" si="200">AP778+50</f>
        <v>343</v>
      </c>
    </row>
    <row r="780" spans="1:42" x14ac:dyDescent="0.2">
      <c r="A780">
        <v>1711.1</v>
      </c>
      <c r="B780">
        <f t="shared" si="199"/>
        <v>398</v>
      </c>
      <c r="AO780">
        <v>1711.1</v>
      </c>
      <c r="AP780">
        <f t="shared" si="200"/>
        <v>393</v>
      </c>
    </row>
    <row r="781" spans="1:42" x14ac:dyDescent="0.2">
      <c r="A781">
        <v>1711.1</v>
      </c>
      <c r="B781">
        <f t="shared" si="199"/>
        <v>448</v>
      </c>
      <c r="AO781">
        <v>1711.1</v>
      </c>
      <c r="AP781">
        <f t="shared" si="200"/>
        <v>443</v>
      </c>
    </row>
    <row r="782" spans="1:42" x14ac:dyDescent="0.2">
      <c r="A782">
        <v>1711.1</v>
      </c>
      <c r="B782">
        <f t="shared" si="199"/>
        <v>498</v>
      </c>
      <c r="AO782">
        <v>1711.1</v>
      </c>
      <c r="AP782">
        <f t="shared" si="200"/>
        <v>493</v>
      </c>
    </row>
    <row r="783" spans="1:42" x14ac:dyDescent="0.2">
      <c r="A783">
        <v>1711.1</v>
      </c>
      <c r="B783">
        <f t="shared" si="199"/>
        <v>548</v>
      </c>
      <c r="AO783">
        <v>1711.1</v>
      </c>
      <c r="AP783">
        <f t="shared" si="200"/>
        <v>543</v>
      </c>
    </row>
    <row r="784" spans="1:42" x14ac:dyDescent="0.2">
      <c r="A784">
        <v>1711.1</v>
      </c>
      <c r="B784">
        <f t="shared" si="199"/>
        <v>598</v>
      </c>
      <c r="AO784">
        <v>1711.1</v>
      </c>
      <c r="AP784">
        <f t="shared" si="200"/>
        <v>593</v>
      </c>
    </row>
    <row r="785" spans="1:62" x14ac:dyDescent="0.2">
      <c r="A785">
        <v>1711.1</v>
      </c>
      <c r="B785">
        <f t="shared" si="199"/>
        <v>648</v>
      </c>
      <c r="AO785">
        <v>1711.1</v>
      </c>
      <c r="AP785">
        <f t="shared" si="200"/>
        <v>643</v>
      </c>
    </row>
    <row r="786" spans="1:62" x14ac:dyDescent="0.2">
      <c r="A786">
        <v>1711.1</v>
      </c>
      <c r="B786">
        <f t="shared" si="199"/>
        <v>698</v>
      </c>
      <c r="AO786">
        <v>1711.1</v>
      </c>
      <c r="AP786">
        <f t="shared" si="200"/>
        <v>693</v>
      </c>
    </row>
    <row r="787" spans="1:62" x14ac:dyDescent="0.2">
      <c r="A787">
        <v>1711.1</v>
      </c>
      <c r="B787">
        <f t="shared" si="199"/>
        <v>748</v>
      </c>
      <c r="AO787">
        <v>1711.1</v>
      </c>
      <c r="AP787">
        <f t="shared" si="200"/>
        <v>743</v>
      </c>
    </row>
    <row r="788" spans="1:62" x14ac:dyDescent="0.2">
      <c r="A788">
        <v>1711.1</v>
      </c>
      <c r="B788">
        <f t="shared" si="199"/>
        <v>798</v>
      </c>
      <c r="AO788">
        <v>1711.1</v>
      </c>
      <c r="AP788">
        <f t="shared" si="200"/>
        <v>793</v>
      </c>
    </row>
    <row r="789" spans="1:62" x14ac:dyDescent="0.2">
      <c r="A789">
        <v>1711.1</v>
      </c>
      <c r="B789">
        <f t="shared" si="199"/>
        <v>848</v>
      </c>
      <c r="AO789">
        <v>1711.1</v>
      </c>
      <c r="AP789">
        <f t="shared" si="200"/>
        <v>843</v>
      </c>
    </row>
    <row r="790" spans="1:62" x14ac:dyDescent="0.2">
      <c r="A790">
        <v>1711.1</v>
      </c>
      <c r="B790">
        <f t="shared" si="199"/>
        <v>898</v>
      </c>
      <c r="AO790">
        <v>1711.1</v>
      </c>
      <c r="AP790">
        <f t="shared" si="200"/>
        <v>893</v>
      </c>
    </row>
    <row r="791" spans="1:62" x14ac:dyDescent="0.2">
      <c r="A791">
        <v>1711.1</v>
      </c>
      <c r="B791">
        <f t="shared" si="199"/>
        <v>948</v>
      </c>
      <c r="AO791">
        <v>1711.1</v>
      </c>
      <c r="AP791">
        <f t="shared" si="200"/>
        <v>943</v>
      </c>
    </row>
    <row r="792" spans="1:62" ht="19" x14ac:dyDescent="0.2">
      <c r="A792" s="52" t="s">
        <v>147</v>
      </c>
    </row>
    <row r="793" spans="1:62" ht="20" x14ac:dyDescent="0.25">
      <c r="A793" s="1" t="s">
        <v>111</v>
      </c>
      <c r="B793" s="63" t="s">
        <v>88</v>
      </c>
      <c r="C793" s="63"/>
      <c r="D793" s="63"/>
      <c r="E793" s="63"/>
      <c r="F793" s="63"/>
      <c r="G793" s="63"/>
      <c r="H793" s="63"/>
      <c r="I793" s="63"/>
      <c r="J793" s="63"/>
      <c r="K793" s="63"/>
      <c r="L793" s="63"/>
      <c r="M793" s="63"/>
      <c r="N793" s="63"/>
      <c r="O793" s="63"/>
      <c r="P793" s="63"/>
      <c r="Q793" s="63"/>
      <c r="R793" s="63"/>
      <c r="S793" s="63"/>
      <c r="T793" s="63"/>
      <c r="V793" s="63" t="s">
        <v>98</v>
      </c>
      <c r="W793" s="63"/>
      <c r="X793" s="63"/>
      <c r="Y793" s="63"/>
      <c r="Z793" s="63"/>
      <c r="AA793" s="63"/>
      <c r="AB793" s="63"/>
      <c r="AC793" s="63"/>
      <c r="AD793" s="63"/>
      <c r="AE793" s="63"/>
      <c r="AF793" s="63"/>
      <c r="AG793" s="63"/>
      <c r="AH793" s="63"/>
      <c r="AI793" s="63"/>
      <c r="AJ793" s="63"/>
      <c r="AK793" s="63"/>
      <c r="AL793" s="63"/>
      <c r="AM793" s="63"/>
      <c r="AO793" s="63" t="s">
        <v>99</v>
      </c>
      <c r="AP793" s="63"/>
      <c r="AQ793" s="63"/>
      <c r="AR793" s="63"/>
      <c r="AS793" s="63"/>
      <c r="AT793" s="63"/>
      <c r="AU793" s="63"/>
      <c r="AV793" s="63"/>
      <c r="AW793" s="63"/>
      <c r="AX793" s="63"/>
      <c r="AY793" s="63"/>
      <c r="AZ793" s="63"/>
      <c r="BA793" s="63"/>
      <c r="BB793" s="63"/>
      <c r="BC793" s="63"/>
      <c r="BD793" s="63"/>
      <c r="BE793" s="63"/>
      <c r="BF793" s="63"/>
      <c r="BH793" s="63" t="s">
        <v>68</v>
      </c>
      <c r="BI793" s="63"/>
      <c r="BJ793" s="63"/>
    </row>
    <row r="794" spans="1:62" ht="19" thickBot="1" x14ac:dyDescent="0.25">
      <c r="A794" s="32" t="s">
        <v>96</v>
      </c>
      <c r="B794" s="32" t="s">
        <v>97</v>
      </c>
      <c r="C794" s="13" t="s">
        <v>0</v>
      </c>
      <c r="D794" s="13" t="s">
        <v>1</v>
      </c>
      <c r="E794" s="13" t="s">
        <v>2</v>
      </c>
      <c r="F794" s="13" t="s">
        <v>3</v>
      </c>
      <c r="G794" s="13" t="s">
        <v>4</v>
      </c>
      <c r="H794" s="13" t="s">
        <v>5</v>
      </c>
      <c r="I794" s="13" t="s">
        <v>6</v>
      </c>
      <c r="J794" s="13" t="s">
        <v>7</v>
      </c>
      <c r="K794" s="13" t="s">
        <v>8</v>
      </c>
      <c r="L794" s="13" t="s">
        <v>9</v>
      </c>
      <c r="M794" s="13" t="s">
        <v>10</v>
      </c>
      <c r="N794" s="13" t="s">
        <v>11</v>
      </c>
      <c r="O794" s="13" t="s">
        <v>12</v>
      </c>
      <c r="P794" s="13" t="s">
        <v>13</v>
      </c>
      <c r="Q794" s="13" t="s">
        <v>14</v>
      </c>
      <c r="R794" s="13" t="s">
        <v>15</v>
      </c>
      <c r="S794" s="13" t="s">
        <v>16</v>
      </c>
      <c r="T794" s="13" t="s">
        <v>17</v>
      </c>
      <c r="V794" s="13" t="s">
        <v>0</v>
      </c>
      <c r="W794" s="13" t="s">
        <v>1</v>
      </c>
      <c r="X794" s="13" t="s">
        <v>2</v>
      </c>
      <c r="Y794" s="13" t="s">
        <v>3</v>
      </c>
      <c r="Z794" s="13" t="s">
        <v>4</v>
      </c>
      <c r="AA794" s="13" t="s">
        <v>5</v>
      </c>
      <c r="AB794" s="13" t="s">
        <v>6</v>
      </c>
      <c r="AC794" s="13" t="s">
        <v>7</v>
      </c>
      <c r="AD794" s="13" t="s">
        <v>8</v>
      </c>
      <c r="AE794" s="13" t="s">
        <v>9</v>
      </c>
      <c r="AF794" s="13" t="s">
        <v>10</v>
      </c>
      <c r="AG794" s="13" t="s">
        <v>11</v>
      </c>
      <c r="AH794" s="13" t="s">
        <v>12</v>
      </c>
      <c r="AI794" s="13" t="s">
        <v>13</v>
      </c>
      <c r="AJ794" s="13" t="s">
        <v>14</v>
      </c>
      <c r="AK794" s="13" t="s">
        <v>15</v>
      </c>
      <c r="AL794" s="13" t="s">
        <v>16</v>
      </c>
      <c r="AM794" s="13" t="s">
        <v>17</v>
      </c>
      <c r="AO794" s="13" t="s">
        <v>0</v>
      </c>
      <c r="AP794" s="13" t="s">
        <v>1</v>
      </c>
      <c r="AQ794" s="13" t="s">
        <v>2</v>
      </c>
      <c r="AR794" s="13" t="s">
        <v>3</v>
      </c>
      <c r="AS794" s="13" t="s">
        <v>4</v>
      </c>
      <c r="AT794" s="13" t="s">
        <v>5</v>
      </c>
      <c r="AU794" s="13" t="s">
        <v>6</v>
      </c>
      <c r="AV794" s="13" t="s">
        <v>7</v>
      </c>
      <c r="AW794" s="13" t="s">
        <v>8</v>
      </c>
      <c r="AX794" s="13" t="s">
        <v>9</v>
      </c>
      <c r="AY794" s="13" t="s">
        <v>10</v>
      </c>
      <c r="AZ794" s="13" t="s">
        <v>11</v>
      </c>
      <c r="BA794" s="13" t="s">
        <v>12</v>
      </c>
      <c r="BB794" s="13" t="s">
        <v>13</v>
      </c>
      <c r="BC794" s="13" t="s">
        <v>14</v>
      </c>
      <c r="BD794" s="13" t="s">
        <v>15</v>
      </c>
      <c r="BE794" s="13" t="s">
        <v>16</v>
      </c>
      <c r="BF794" s="13" t="s">
        <v>17</v>
      </c>
      <c r="BH794" s="35" t="s">
        <v>96</v>
      </c>
      <c r="BI794" s="35" t="s">
        <v>97</v>
      </c>
      <c r="BJ794" s="35" t="s">
        <v>87</v>
      </c>
    </row>
    <row r="795" spans="1:62" x14ac:dyDescent="0.2">
      <c r="A795">
        <v>0.1</v>
      </c>
      <c r="B795">
        <v>298</v>
      </c>
      <c r="BH795">
        <v>0.1</v>
      </c>
      <c r="BI795">
        <v>298</v>
      </c>
    </row>
    <row r="796" spans="1:62" x14ac:dyDescent="0.2">
      <c r="A796">
        <v>0.1</v>
      </c>
      <c r="B796">
        <f t="shared" ref="B796:B808" si="201">B795+50</f>
        <v>348</v>
      </c>
      <c r="BH796">
        <v>0.1</v>
      </c>
      <c r="BI796">
        <f t="shared" ref="BI796:BI808" si="202">BI795+50</f>
        <v>348</v>
      </c>
    </row>
    <row r="797" spans="1:62" x14ac:dyDescent="0.2">
      <c r="A797">
        <v>0.1</v>
      </c>
      <c r="B797">
        <f t="shared" si="201"/>
        <v>398</v>
      </c>
      <c r="BH797">
        <v>0.1</v>
      </c>
      <c r="BI797">
        <f t="shared" si="202"/>
        <v>398</v>
      </c>
    </row>
    <row r="798" spans="1:62" x14ac:dyDescent="0.2">
      <c r="A798">
        <v>0.1</v>
      </c>
      <c r="B798">
        <f t="shared" si="201"/>
        <v>448</v>
      </c>
      <c r="BH798">
        <v>0.1</v>
      </c>
      <c r="BI798">
        <f t="shared" si="202"/>
        <v>448</v>
      </c>
    </row>
    <row r="799" spans="1:62" x14ac:dyDescent="0.2">
      <c r="A799">
        <v>0.1</v>
      </c>
      <c r="B799">
        <f t="shared" si="201"/>
        <v>498</v>
      </c>
      <c r="BH799">
        <v>0.1</v>
      </c>
      <c r="BI799">
        <f t="shared" si="202"/>
        <v>498</v>
      </c>
    </row>
    <row r="800" spans="1:62" x14ac:dyDescent="0.2">
      <c r="A800">
        <v>0.1</v>
      </c>
      <c r="B800">
        <f t="shared" si="201"/>
        <v>548</v>
      </c>
      <c r="BH800">
        <v>0.1</v>
      </c>
      <c r="BI800">
        <f t="shared" si="202"/>
        <v>548</v>
      </c>
    </row>
    <row r="801" spans="1:61" x14ac:dyDescent="0.2">
      <c r="A801">
        <v>0.1</v>
      </c>
      <c r="B801">
        <f t="shared" si="201"/>
        <v>598</v>
      </c>
      <c r="BH801">
        <v>0.1</v>
      </c>
      <c r="BI801">
        <f t="shared" si="202"/>
        <v>598</v>
      </c>
    </row>
    <row r="802" spans="1:61" x14ac:dyDescent="0.2">
      <c r="A802">
        <v>0.1</v>
      </c>
      <c r="B802">
        <f t="shared" si="201"/>
        <v>648</v>
      </c>
      <c r="BH802">
        <v>0.1</v>
      </c>
      <c r="BI802">
        <f t="shared" si="202"/>
        <v>648</v>
      </c>
    </row>
    <row r="803" spans="1:61" x14ac:dyDescent="0.2">
      <c r="A803">
        <v>0.1</v>
      </c>
      <c r="B803">
        <f t="shared" si="201"/>
        <v>698</v>
      </c>
      <c r="BH803">
        <v>0.1</v>
      </c>
      <c r="BI803">
        <f t="shared" si="202"/>
        <v>698</v>
      </c>
    </row>
    <row r="804" spans="1:61" x14ac:dyDescent="0.2">
      <c r="A804">
        <v>0.1</v>
      </c>
      <c r="B804">
        <f t="shared" si="201"/>
        <v>748</v>
      </c>
      <c r="BH804">
        <v>0.1</v>
      </c>
      <c r="BI804">
        <f t="shared" si="202"/>
        <v>748</v>
      </c>
    </row>
    <row r="805" spans="1:61" x14ac:dyDescent="0.2">
      <c r="A805">
        <v>0.1</v>
      </c>
      <c r="B805">
        <f t="shared" si="201"/>
        <v>798</v>
      </c>
      <c r="BH805">
        <v>0.1</v>
      </c>
      <c r="BI805">
        <f t="shared" si="202"/>
        <v>798</v>
      </c>
    </row>
    <row r="806" spans="1:61" x14ac:dyDescent="0.2">
      <c r="A806">
        <v>0.1</v>
      </c>
      <c r="B806">
        <f t="shared" si="201"/>
        <v>848</v>
      </c>
      <c r="BH806">
        <v>0.1</v>
      </c>
      <c r="BI806">
        <f t="shared" si="202"/>
        <v>848</v>
      </c>
    </row>
    <row r="807" spans="1:61" x14ac:dyDescent="0.2">
      <c r="A807">
        <v>0.1</v>
      </c>
      <c r="B807">
        <f t="shared" si="201"/>
        <v>898</v>
      </c>
      <c r="BH807">
        <v>0.1</v>
      </c>
      <c r="BI807">
        <f t="shared" si="202"/>
        <v>898</v>
      </c>
    </row>
    <row r="808" spans="1:61" x14ac:dyDescent="0.2">
      <c r="A808">
        <v>0.1</v>
      </c>
      <c r="B808">
        <f t="shared" si="201"/>
        <v>948</v>
      </c>
      <c r="BH808">
        <v>0.1</v>
      </c>
      <c r="BI808">
        <f t="shared" si="202"/>
        <v>948</v>
      </c>
    </row>
    <row r="809" spans="1:61" x14ac:dyDescent="0.2">
      <c r="A809">
        <v>570.1</v>
      </c>
      <c r="B809">
        <v>298</v>
      </c>
      <c r="BH809">
        <v>570.1</v>
      </c>
      <c r="BI809">
        <v>298</v>
      </c>
    </row>
    <row r="810" spans="1:61" x14ac:dyDescent="0.2">
      <c r="A810">
        <v>570.1</v>
      </c>
      <c r="B810">
        <f t="shared" ref="B810:B822" si="203">B809+50</f>
        <v>348</v>
      </c>
      <c r="BH810">
        <v>570.1</v>
      </c>
      <c r="BI810">
        <f t="shared" ref="BI810:BI822" si="204">BI809+50</f>
        <v>348</v>
      </c>
    </row>
    <row r="811" spans="1:61" x14ac:dyDescent="0.2">
      <c r="A811">
        <v>570.1</v>
      </c>
      <c r="B811">
        <f t="shared" si="203"/>
        <v>398</v>
      </c>
      <c r="BH811">
        <v>570.1</v>
      </c>
      <c r="BI811">
        <f t="shared" si="204"/>
        <v>398</v>
      </c>
    </row>
    <row r="812" spans="1:61" x14ac:dyDescent="0.2">
      <c r="A812">
        <v>570.1</v>
      </c>
      <c r="B812">
        <f t="shared" si="203"/>
        <v>448</v>
      </c>
      <c r="BH812">
        <v>570.1</v>
      </c>
      <c r="BI812">
        <f t="shared" si="204"/>
        <v>448</v>
      </c>
    </row>
    <row r="813" spans="1:61" x14ac:dyDescent="0.2">
      <c r="A813">
        <v>570.1</v>
      </c>
      <c r="B813">
        <f t="shared" si="203"/>
        <v>498</v>
      </c>
      <c r="BH813">
        <v>570.1</v>
      </c>
      <c r="BI813">
        <f t="shared" si="204"/>
        <v>498</v>
      </c>
    </row>
    <row r="814" spans="1:61" x14ac:dyDescent="0.2">
      <c r="A814">
        <v>570.1</v>
      </c>
      <c r="B814">
        <f t="shared" si="203"/>
        <v>548</v>
      </c>
      <c r="BH814">
        <v>570.1</v>
      </c>
      <c r="BI814">
        <f t="shared" si="204"/>
        <v>548</v>
      </c>
    </row>
    <row r="815" spans="1:61" x14ac:dyDescent="0.2">
      <c r="A815">
        <v>570.1</v>
      </c>
      <c r="B815">
        <f t="shared" si="203"/>
        <v>598</v>
      </c>
      <c r="BH815">
        <v>570.1</v>
      </c>
      <c r="BI815">
        <f t="shared" si="204"/>
        <v>598</v>
      </c>
    </row>
    <row r="816" spans="1:61" x14ac:dyDescent="0.2">
      <c r="A816">
        <v>570.1</v>
      </c>
      <c r="B816">
        <f t="shared" si="203"/>
        <v>648</v>
      </c>
      <c r="BH816">
        <v>570.1</v>
      </c>
      <c r="BI816">
        <f t="shared" si="204"/>
        <v>648</v>
      </c>
    </row>
    <row r="817" spans="1:61" x14ac:dyDescent="0.2">
      <c r="A817">
        <v>570.1</v>
      </c>
      <c r="B817">
        <f t="shared" si="203"/>
        <v>698</v>
      </c>
      <c r="BH817">
        <v>570.1</v>
      </c>
      <c r="BI817">
        <f t="shared" si="204"/>
        <v>698</v>
      </c>
    </row>
    <row r="818" spans="1:61" x14ac:dyDescent="0.2">
      <c r="A818">
        <v>570.1</v>
      </c>
      <c r="B818">
        <f t="shared" si="203"/>
        <v>748</v>
      </c>
      <c r="BH818">
        <v>570.1</v>
      </c>
      <c r="BI818">
        <f t="shared" si="204"/>
        <v>748</v>
      </c>
    </row>
    <row r="819" spans="1:61" x14ac:dyDescent="0.2">
      <c r="A819">
        <v>570.1</v>
      </c>
      <c r="B819">
        <f t="shared" si="203"/>
        <v>798</v>
      </c>
      <c r="BH819">
        <v>570.1</v>
      </c>
      <c r="BI819">
        <f t="shared" si="204"/>
        <v>798</v>
      </c>
    </row>
    <row r="820" spans="1:61" x14ac:dyDescent="0.2">
      <c r="A820">
        <v>570.1</v>
      </c>
      <c r="B820">
        <f t="shared" si="203"/>
        <v>848</v>
      </c>
      <c r="BH820">
        <v>570.1</v>
      </c>
      <c r="BI820">
        <f t="shared" si="204"/>
        <v>848</v>
      </c>
    </row>
    <row r="821" spans="1:61" x14ac:dyDescent="0.2">
      <c r="A821">
        <v>570.1</v>
      </c>
      <c r="B821">
        <f t="shared" si="203"/>
        <v>898</v>
      </c>
      <c r="BH821">
        <v>570.1</v>
      </c>
      <c r="BI821">
        <f t="shared" si="204"/>
        <v>898</v>
      </c>
    </row>
    <row r="822" spans="1:61" x14ac:dyDescent="0.2">
      <c r="A822">
        <v>570.1</v>
      </c>
      <c r="B822">
        <f t="shared" si="203"/>
        <v>948</v>
      </c>
      <c r="BH822">
        <v>570.1</v>
      </c>
      <c r="BI822">
        <f t="shared" si="204"/>
        <v>948</v>
      </c>
    </row>
    <row r="823" spans="1:61" x14ac:dyDescent="0.2">
      <c r="A823">
        <v>1140.0999999999999</v>
      </c>
      <c r="B823">
        <v>298</v>
      </c>
      <c r="BH823">
        <v>1140.0999999999999</v>
      </c>
      <c r="BI823">
        <v>293</v>
      </c>
    </row>
    <row r="824" spans="1:61" x14ac:dyDescent="0.2">
      <c r="A824">
        <v>1140.0999999999999</v>
      </c>
      <c r="B824">
        <f t="shared" ref="B824:B836" si="205">B823+50</f>
        <v>348</v>
      </c>
      <c r="BH824">
        <v>1140.0999999999999</v>
      </c>
      <c r="BI824">
        <f t="shared" ref="BI824:BI836" si="206">BI823+50</f>
        <v>343</v>
      </c>
    </row>
    <row r="825" spans="1:61" x14ac:dyDescent="0.2">
      <c r="A825">
        <v>1140.0999999999999</v>
      </c>
      <c r="B825">
        <f t="shared" si="205"/>
        <v>398</v>
      </c>
      <c r="BH825">
        <v>1140.0999999999999</v>
      </c>
      <c r="BI825">
        <f t="shared" si="206"/>
        <v>393</v>
      </c>
    </row>
    <row r="826" spans="1:61" x14ac:dyDescent="0.2">
      <c r="A826">
        <v>1140.0999999999999</v>
      </c>
      <c r="B826">
        <f t="shared" si="205"/>
        <v>448</v>
      </c>
      <c r="BH826">
        <v>1140.0999999999999</v>
      </c>
      <c r="BI826">
        <f t="shared" si="206"/>
        <v>443</v>
      </c>
    </row>
    <row r="827" spans="1:61" x14ac:dyDescent="0.2">
      <c r="A827">
        <v>1140.0999999999999</v>
      </c>
      <c r="B827">
        <f t="shared" si="205"/>
        <v>498</v>
      </c>
      <c r="BH827">
        <v>1140.0999999999999</v>
      </c>
      <c r="BI827">
        <f t="shared" si="206"/>
        <v>493</v>
      </c>
    </row>
    <row r="828" spans="1:61" x14ac:dyDescent="0.2">
      <c r="A828">
        <v>1140.0999999999999</v>
      </c>
      <c r="B828">
        <f t="shared" si="205"/>
        <v>548</v>
      </c>
      <c r="BH828">
        <v>1140.0999999999999</v>
      </c>
      <c r="BI828">
        <f t="shared" si="206"/>
        <v>543</v>
      </c>
    </row>
    <row r="829" spans="1:61" x14ac:dyDescent="0.2">
      <c r="A829">
        <v>1140.0999999999999</v>
      </c>
      <c r="B829">
        <f t="shared" si="205"/>
        <v>598</v>
      </c>
      <c r="BH829">
        <v>1140.0999999999999</v>
      </c>
      <c r="BI829">
        <f t="shared" si="206"/>
        <v>593</v>
      </c>
    </row>
    <row r="830" spans="1:61" x14ac:dyDescent="0.2">
      <c r="A830">
        <v>1140.0999999999999</v>
      </c>
      <c r="B830">
        <f t="shared" si="205"/>
        <v>648</v>
      </c>
      <c r="BH830">
        <v>1140.0999999999999</v>
      </c>
      <c r="BI830">
        <f t="shared" si="206"/>
        <v>643</v>
      </c>
    </row>
    <row r="831" spans="1:61" x14ac:dyDescent="0.2">
      <c r="A831">
        <v>1140.0999999999999</v>
      </c>
      <c r="B831">
        <f t="shared" si="205"/>
        <v>698</v>
      </c>
      <c r="BH831">
        <v>1140.0999999999999</v>
      </c>
      <c r="BI831">
        <f t="shared" si="206"/>
        <v>693</v>
      </c>
    </row>
    <row r="832" spans="1:61" x14ac:dyDescent="0.2">
      <c r="A832">
        <v>1140.0999999999999</v>
      </c>
      <c r="B832">
        <f t="shared" si="205"/>
        <v>748</v>
      </c>
      <c r="BH832">
        <v>1140.0999999999999</v>
      </c>
      <c r="BI832">
        <f t="shared" si="206"/>
        <v>743</v>
      </c>
    </row>
    <row r="833" spans="1:61" x14ac:dyDescent="0.2">
      <c r="A833">
        <v>1140.0999999999999</v>
      </c>
      <c r="B833">
        <f t="shared" si="205"/>
        <v>798</v>
      </c>
      <c r="BH833">
        <v>1140.0999999999999</v>
      </c>
      <c r="BI833">
        <f t="shared" si="206"/>
        <v>793</v>
      </c>
    </row>
    <row r="834" spans="1:61" x14ac:dyDescent="0.2">
      <c r="A834">
        <v>1140.0999999999999</v>
      </c>
      <c r="B834">
        <f t="shared" si="205"/>
        <v>848</v>
      </c>
      <c r="BH834">
        <v>1140.0999999999999</v>
      </c>
      <c r="BI834">
        <f t="shared" si="206"/>
        <v>843</v>
      </c>
    </row>
    <row r="835" spans="1:61" x14ac:dyDescent="0.2">
      <c r="A835">
        <v>1140.0999999999999</v>
      </c>
      <c r="B835">
        <f t="shared" si="205"/>
        <v>898</v>
      </c>
      <c r="BH835">
        <v>1140.0999999999999</v>
      </c>
      <c r="BI835">
        <f t="shared" si="206"/>
        <v>893</v>
      </c>
    </row>
    <row r="836" spans="1:61" x14ac:dyDescent="0.2">
      <c r="A836">
        <v>1140.0999999999999</v>
      </c>
      <c r="B836">
        <f t="shared" si="205"/>
        <v>948</v>
      </c>
      <c r="BH836">
        <v>1140.0999999999999</v>
      </c>
      <c r="BI836">
        <f t="shared" si="206"/>
        <v>943</v>
      </c>
    </row>
    <row r="837" spans="1:61" x14ac:dyDescent="0.2">
      <c r="A837">
        <v>1711.1</v>
      </c>
      <c r="B837">
        <v>298</v>
      </c>
      <c r="BH837">
        <v>1711.1</v>
      </c>
      <c r="BI837">
        <v>293</v>
      </c>
    </row>
    <row r="838" spans="1:61" x14ac:dyDescent="0.2">
      <c r="A838">
        <v>1711.1</v>
      </c>
      <c r="B838">
        <f t="shared" ref="B838:B850" si="207">B837+50</f>
        <v>348</v>
      </c>
      <c r="BH838">
        <v>1711.1</v>
      </c>
      <c r="BI838">
        <f t="shared" ref="BI838:BI850" si="208">BI837+50</f>
        <v>343</v>
      </c>
    </row>
    <row r="839" spans="1:61" x14ac:dyDescent="0.2">
      <c r="A839">
        <v>1711.1</v>
      </c>
      <c r="B839">
        <f t="shared" si="207"/>
        <v>398</v>
      </c>
      <c r="BH839">
        <v>1711.1</v>
      </c>
      <c r="BI839">
        <f t="shared" si="208"/>
        <v>393</v>
      </c>
    </row>
    <row r="840" spans="1:61" x14ac:dyDescent="0.2">
      <c r="A840">
        <v>1711.1</v>
      </c>
      <c r="B840">
        <f t="shared" si="207"/>
        <v>448</v>
      </c>
      <c r="BH840">
        <v>1711.1</v>
      </c>
      <c r="BI840">
        <f t="shared" si="208"/>
        <v>443</v>
      </c>
    </row>
    <row r="841" spans="1:61" x14ac:dyDescent="0.2">
      <c r="A841">
        <v>1711.1</v>
      </c>
      <c r="B841">
        <f t="shared" si="207"/>
        <v>498</v>
      </c>
      <c r="BH841">
        <v>1711.1</v>
      </c>
      <c r="BI841">
        <f t="shared" si="208"/>
        <v>493</v>
      </c>
    </row>
    <row r="842" spans="1:61" x14ac:dyDescent="0.2">
      <c r="A842">
        <v>1711.1</v>
      </c>
      <c r="B842">
        <f t="shared" si="207"/>
        <v>548</v>
      </c>
      <c r="BH842">
        <v>1711.1</v>
      </c>
      <c r="BI842">
        <f t="shared" si="208"/>
        <v>543</v>
      </c>
    </row>
    <row r="843" spans="1:61" x14ac:dyDescent="0.2">
      <c r="A843">
        <v>1711.1</v>
      </c>
      <c r="B843">
        <f t="shared" si="207"/>
        <v>598</v>
      </c>
      <c r="BH843">
        <v>1711.1</v>
      </c>
      <c r="BI843">
        <f t="shared" si="208"/>
        <v>593</v>
      </c>
    </row>
    <row r="844" spans="1:61" x14ac:dyDescent="0.2">
      <c r="A844">
        <v>1711.1</v>
      </c>
      <c r="B844">
        <f t="shared" si="207"/>
        <v>648</v>
      </c>
      <c r="BH844">
        <v>1711.1</v>
      </c>
      <c r="BI844">
        <f t="shared" si="208"/>
        <v>643</v>
      </c>
    </row>
    <row r="845" spans="1:61" x14ac:dyDescent="0.2">
      <c r="A845">
        <v>1711.1</v>
      </c>
      <c r="B845">
        <f t="shared" si="207"/>
        <v>698</v>
      </c>
      <c r="BH845">
        <v>1711.1</v>
      </c>
      <c r="BI845">
        <f t="shared" si="208"/>
        <v>693</v>
      </c>
    </row>
    <row r="846" spans="1:61" x14ac:dyDescent="0.2">
      <c r="A846">
        <v>1711.1</v>
      </c>
      <c r="B846">
        <f t="shared" si="207"/>
        <v>748</v>
      </c>
      <c r="BH846">
        <v>1711.1</v>
      </c>
      <c r="BI846">
        <f t="shared" si="208"/>
        <v>743</v>
      </c>
    </row>
    <row r="847" spans="1:61" x14ac:dyDescent="0.2">
      <c r="A847">
        <v>1711.1</v>
      </c>
      <c r="B847">
        <f t="shared" si="207"/>
        <v>798</v>
      </c>
      <c r="BH847">
        <v>1711.1</v>
      </c>
      <c r="BI847">
        <f t="shared" si="208"/>
        <v>793</v>
      </c>
    </row>
    <row r="848" spans="1:61" x14ac:dyDescent="0.2">
      <c r="A848">
        <v>1711.1</v>
      </c>
      <c r="B848">
        <f t="shared" si="207"/>
        <v>848</v>
      </c>
      <c r="BH848">
        <v>1711.1</v>
      </c>
      <c r="BI848">
        <f t="shared" si="208"/>
        <v>843</v>
      </c>
    </row>
    <row r="849" spans="1:62" x14ac:dyDescent="0.2">
      <c r="A849">
        <v>1711.1</v>
      </c>
      <c r="B849">
        <f t="shared" si="207"/>
        <v>898</v>
      </c>
      <c r="BH849">
        <v>1711.1</v>
      </c>
      <c r="BI849">
        <f t="shared" si="208"/>
        <v>893</v>
      </c>
    </row>
    <row r="850" spans="1:62" x14ac:dyDescent="0.2">
      <c r="A850">
        <v>1711.1</v>
      </c>
      <c r="B850">
        <f t="shared" si="207"/>
        <v>948</v>
      </c>
      <c r="BH850">
        <v>1711.1</v>
      </c>
      <c r="BI850">
        <f t="shared" si="208"/>
        <v>943</v>
      </c>
    </row>
    <row r="852" spans="1:62" ht="20" x14ac:dyDescent="0.25">
      <c r="A852" s="1" t="s">
        <v>112</v>
      </c>
      <c r="B852" s="63" t="s">
        <v>90</v>
      </c>
      <c r="C852" s="63"/>
      <c r="D852" s="63"/>
      <c r="E852" s="63"/>
      <c r="F852" s="63"/>
      <c r="G852" s="63"/>
      <c r="H852" s="63"/>
      <c r="I852" s="63"/>
      <c r="J852" s="63"/>
      <c r="K852" s="63"/>
      <c r="L852" s="63"/>
      <c r="M852" s="63"/>
      <c r="N852" s="63"/>
      <c r="O852" s="63"/>
      <c r="P852" s="63"/>
      <c r="Q852" s="63"/>
      <c r="R852" s="63"/>
      <c r="S852" s="63"/>
      <c r="T852" s="63"/>
      <c r="V852" s="63" t="s">
        <v>98</v>
      </c>
      <c r="W852" s="63"/>
      <c r="X852" s="63"/>
      <c r="Y852" s="63"/>
      <c r="Z852" s="63"/>
      <c r="AA852" s="63"/>
      <c r="AB852" s="63"/>
      <c r="AC852" s="63"/>
      <c r="AD852" s="63"/>
      <c r="AE852" s="63"/>
      <c r="AF852" s="63"/>
      <c r="AG852" s="63"/>
      <c r="AH852" s="63"/>
      <c r="AI852" s="63"/>
      <c r="AJ852" s="63"/>
      <c r="AK852" s="63"/>
      <c r="AL852" s="63"/>
      <c r="AM852" s="63"/>
      <c r="AO852" s="63" t="s">
        <v>99</v>
      </c>
      <c r="AP852" s="63"/>
      <c r="AQ852" s="63"/>
      <c r="AR852" s="63"/>
      <c r="AS852" s="63"/>
      <c r="AT852" s="63"/>
      <c r="AU852" s="63"/>
      <c r="AV852" s="63"/>
      <c r="AW852" s="63"/>
      <c r="AX852" s="63"/>
      <c r="AY852" s="63"/>
      <c r="AZ852" s="63"/>
      <c r="BA852" s="63"/>
      <c r="BB852" s="63"/>
      <c r="BC852" s="63"/>
      <c r="BD852" s="63"/>
      <c r="BE852" s="63"/>
      <c r="BF852" s="63"/>
      <c r="BH852" s="63" t="s">
        <v>68</v>
      </c>
      <c r="BI852" s="63"/>
      <c r="BJ852" s="63"/>
    </row>
    <row r="853" spans="1:62" ht="19" thickBot="1" x14ac:dyDescent="0.25">
      <c r="A853" s="32" t="s">
        <v>96</v>
      </c>
      <c r="B853" s="32" t="s">
        <v>97</v>
      </c>
      <c r="C853" s="13" t="s">
        <v>0</v>
      </c>
      <c r="D853" s="13" t="s">
        <v>1</v>
      </c>
      <c r="E853" s="13" t="s">
        <v>2</v>
      </c>
      <c r="F853" s="13" t="s">
        <v>3</v>
      </c>
      <c r="G853" s="13" t="s">
        <v>4</v>
      </c>
      <c r="H853" s="13" t="s">
        <v>5</v>
      </c>
      <c r="I853" s="13" t="s">
        <v>6</v>
      </c>
      <c r="J853" s="13" t="s">
        <v>7</v>
      </c>
      <c r="K853" s="13" t="s">
        <v>8</v>
      </c>
      <c r="L853" s="13" t="s">
        <v>9</v>
      </c>
      <c r="M853" s="13" t="s">
        <v>10</v>
      </c>
      <c r="N853" s="13" t="s">
        <v>11</v>
      </c>
      <c r="O853" s="13" t="s">
        <v>12</v>
      </c>
      <c r="P853" s="13" t="s">
        <v>13</v>
      </c>
      <c r="Q853" s="13" t="s">
        <v>14</v>
      </c>
      <c r="R853" s="13" t="s">
        <v>15</v>
      </c>
      <c r="S853" s="13" t="s">
        <v>16</v>
      </c>
      <c r="T853" s="13" t="s">
        <v>17</v>
      </c>
      <c r="V853" s="13" t="s">
        <v>0</v>
      </c>
      <c r="W853" s="13" t="s">
        <v>1</v>
      </c>
      <c r="X853" s="13" t="s">
        <v>2</v>
      </c>
      <c r="Y853" s="13" t="s">
        <v>3</v>
      </c>
      <c r="Z853" s="13" t="s">
        <v>4</v>
      </c>
      <c r="AA853" s="13" t="s">
        <v>5</v>
      </c>
      <c r="AB853" s="13" t="s">
        <v>6</v>
      </c>
      <c r="AC853" s="13" t="s">
        <v>7</v>
      </c>
      <c r="AD853" s="13" t="s">
        <v>8</v>
      </c>
      <c r="AE853" s="13" t="s">
        <v>9</v>
      </c>
      <c r="AF853" s="13" t="s">
        <v>10</v>
      </c>
      <c r="AG853" s="13" t="s">
        <v>11</v>
      </c>
      <c r="AH853" s="13" t="s">
        <v>12</v>
      </c>
      <c r="AI853" s="13" t="s">
        <v>13</v>
      </c>
      <c r="AJ853" s="13" t="s">
        <v>14</v>
      </c>
      <c r="AK853" s="13" t="s">
        <v>15</v>
      </c>
      <c r="AL853" s="13" t="s">
        <v>16</v>
      </c>
      <c r="AM853" s="13" t="s">
        <v>17</v>
      </c>
      <c r="AO853" s="13" t="s">
        <v>0</v>
      </c>
      <c r="AP853" s="13" t="s">
        <v>1</v>
      </c>
      <c r="AQ853" s="13" t="s">
        <v>2</v>
      </c>
      <c r="AR853" s="13" t="s">
        <v>3</v>
      </c>
      <c r="AS853" s="13" t="s">
        <v>4</v>
      </c>
      <c r="AT853" s="13" t="s">
        <v>5</v>
      </c>
      <c r="AU853" s="13" t="s">
        <v>6</v>
      </c>
      <c r="AV853" s="13" t="s">
        <v>7</v>
      </c>
      <c r="AW853" s="13" t="s">
        <v>8</v>
      </c>
      <c r="AX853" s="13" t="s">
        <v>9</v>
      </c>
      <c r="AY853" s="13" t="s">
        <v>10</v>
      </c>
      <c r="AZ853" s="13" t="s">
        <v>11</v>
      </c>
      <c r="BA853" s="13" t="s">
        <v>12</v>
      </c>
      <c r="BB853" s="13" t="s">
        <v>13</v>
      </c>
      <c r="BC853" s="13" t="s">
        <v>14</v>
      </c>
      <c r="BD853" s="13" t="s">
        <v>15</v>
      </c>
      <c r="BE853" s="13" t="s">
        <v>16</v>
      </c>
      <c r="BF853" s="13" t="s">
        <v>17</v>
      </c>
      <c r="BH853" s="35" t="s">
        <v>96</v>
      </c>
      <c r="BI853" s="35" t="s">
        <v>97</v>
      </c>
      <c r="BJ853" s="35" t="s">
        <v>89</v>
      </c>
    </row>
    <row r="854" spans="1:62" x14ac:dyDescent="0.2">
      <c r="A854">
        <v>0.1</v>
      </c>
      <c r="B854">
        <v>298</v>
      </c>
      <c r="BH854">
        <v>0.1</v>
      </c>
      <c r="BI854">
        <v>298</v>
      </c>
    </row>
    <row r="855" spans="1:62" x14ac:dyDescent="0.2">
      <c r="A855">
        <v>0.1</v>
      </c>
      <c r="B855">
        <f t="shared" ref="B855:B867" si="209">B854+50</f>
        <v>348</v>
      </c>
      <c r="BH855">
        <v>0.1</v>
      </c>
      <c r="BI855">
        <f t="shared" ref="BI855:BI867" si="210">BI854+50</f>
        <v>348</v>
      </c>
    </row>
    <row r="856" spans="1:62" x14ac:dyDescent="0.2">
      <c r="A856">
        <v>0.1</v>
      </c>
      <c r="B856">
        <f t="shared" si="209"/>
        <v>398</v>
      </c>
      <c r="BH856">
        <v>0.1</v>
      </c>
      <c r="BI856">
        <f t="shared" si="210"/>
        <v>398</v>
      </c>
    </row>
    <row r="857" spans="1:62" x14ac:dyDescent="0.2">
      <c r="A857">
        <v>0.1</v>
      </c>
      <c r="B857">
        <f t="shared" si="209"/>
        <v>448</v>
      </c>
      <c r="BH857">
        <v>0.1</v>
      </c>
      <c r="BI857">
        <f t="shared" si="210"/>
        <v>448</v>
      </c>
    </row>
    <row r="858" spans="1:62" x14ac:dyDescent="0.2">
      <c r="A858">
        <v>0.1</v>
      </c>
      <c r="B858">
        <f t="shared" si="209"/>
        <v>498</v>
      </c>
      <c r="BH858">
        <v>0.1</v>
      </c>
      <c r="BI858">
        <f t="shared" si="210"/>
        <v>498</v>
      </c>
    </row>
    <row r="859" spans="1:62" x14ac:dyDescent="0.2">
      <c r="A859">
        <v>0.1</v>
      </c>
      <c r="B859">
        <f t="shared" si="209"/>
        <v>548</v>
      </c>
      <c r="BH859">
        <v>0.1</v>
      </c>
      <c r="BI859">
        <f t="shared" si="210"/>
        <v>548</v>
      </c>
    </row>
    <row r="860" spans="1:62" x14ac:dyDescent="0.2">
      <c r="A860">
        <v>0.1</v>
      </c>
      <c r="B860">
        <f t="shared" si="209"/>
        <v>598</v>
      </c>
      <c r="BH860">
        <v>0.1</v>
      </c>
      <c r="BI860">
        <f t="shared" si="210"/>
        <v>598</v>
      </c>
    </row>
    <row r="861" spans="1:62" x14ac:dyDescent="0.2">
      <c r="A861">
        <v>0.1</v>
      </c>
      <c r="B861">
        <f t="shared" si="209"/>
        <v>648</v>
      </c>
      <c r="BH861">
        <v>0.1</v>
      </c>
      <c r="BI861">
        <f t="shared" si="210"/>
        <v>648</v>
      </c>
    </row>
    <row r="862" spans="1:62" x14ac:dyDescent="0.2">
      <c r="A862">
        <v>0.1</v>
      </c>
      <c r="B862">
        <f t="shared" si="209"/>
        <v>698</v>
      </c>
      <c r="BH862">
        <v>0.1</v>
      </c>
      <c r="BI862">
        <f t="shared" si="210"/>
        <v>698</v>
      </c>
    </row>
    <row r="863" spans="1:62" x14ac:dyDescent="0.2">
      <c r="A863">
        <v>0.1</v>
      </c>
      <c r="B863">
        <f t="shared" si="209"/>
        <v>748</v>
      </c>
      <c r="BH863">
        <v>0.1</v>
      </c>
      <c r="BI863">
        <f t="shared" si="210"/>
        <v>748</v>
      </c>
    </row>
    <row r="864" spans="1:62" x14ac:dyDescent="0.2">
      <c r="A864">
        <v>0.1</v>
      </c>
      <c r="B864">
        <f t="shared" si="209"/>
        <v>798</v>
      </c>
      <c r="BH864">
        <v>0.1</v>
      </c>
      <c r="BI864">
        <f t="shared" si="210"/>
        <v>798</v>
      </c>
    </row>
    <row r="865" spans="1:61" x14ac:dyDescent="0.2">
      <c r="A865">
        <v>0.1</v>
      </c>
      <c r="B865">
        <f t="shared" si="209"/>
        <v>848</v>
      </c>
      <c r="BH865">
        <v>0.1</v>
      </c>
      <c r="BI865">
        <f t="shared" si="210"/>
        <v>848</v>
      </c>
    </row>
    <row r="866" spans="1:61" x14ac:dyDescent="0.2">
      <c r="A866">
        <v>0.1</v>
      </c>
      <c r="B866">
        <f t="shared" si="209"/>
        <v>898</v>
      </c>
      <c r="BH866">
        <v>0.1</v>
      </c>
      <c r="BI866">
        <f t="shared" si="210"/>
        <v>898</v>
      </c>
    </row>
    <row r="867" spans="1:61" x14ac:dyDescent="0.2">
      <c r="A867">
        <v>0.1</v>
      </c>
      <c r="B867">
        <f t="shared" si="209"/>
        <v>948</v>
      </c>
      <c r="BH867">
        <v>0.1</v>
      </c>
      <c r="BI867">
        <f t="shared" si="210"/>
        <v>948</v>
      </c>
    </row>
    <row r="868" spans="1:61" x14ac:dyDescent="0.2">
      <c r="A868">
        <v>570.1</v>
      </c>
      <c r="B868">
        <v>298</v>
      </c>
      <c r="BH868">
        <v>570.1</v>
      </c>
      <c r="BI868">
        <v>298</v>
      </c>
    </row>
    <row r="869" spans="1:61" x14ac:dyDescent="0.2">
      <c r="A869">
        <v>570.1</v>
      </c>
      <c r="B869">
        <f t="shared" ref="B869:B881" si="211">B868+50</f>
        <v>348</v>
      </c>
      <c r="BH869">
        <v>570.1</v>
      </c>
      <c r="BI869">
        <f t="shared" ref="BI869:BI881" si="212">BI868+50</f>
        <v>348</v>
      </c>
    </row>
    <row r="870" spans="1:61" x14ac:dyDescent="0.2">
      <c r="A870">
        <v>570.1</v>
      </c>
      <c r="B870">
        <f t="shared" si="211"/>
        <v>398</v>
      </c>
      <c r="BH870">
        <v>570.1</v>
      </c>
      <c r="BI870">
        <f t="shared" si="212"/>
        <v>398</v>
      </c>
    </row>
    <row r="871" spans="1:61" x14ac:dyDescent="0.2">
      <c r="A871">
        <v>570.1</v>
      </c>
      <c r="B871">
        <f t="shared" si="211"/>
        <v>448</v>
      </c>
      <c r="BH871">
        <v>570.1</v>
      </c>
      <c r="BI871">
        <f t="shared" si="212"/>
        <v>448</v>
      </c>
    </row>
    <row r="872" spans="1:61" x14ac:dyDescent="0.2">
      <c r="A872">
        <v>570.1</v>
      </c>
      <c r="B872">
        <f t="shared" si="211"/>
        <v>498</v>
      </c>
      <c r="BH872">
        <v>570.1</v>
      </c>
      <c r="BI872">
        <f t="shared" si="212"/>
        <v>498</v>
      </c>
    </row>
    <row r="873" spans="1:61" x14ac:dyDescent="0.2">
      <c r="A873">
        <v>570.1</v>
      </c>
      <c r="B873">
        <f t="shared" si="211"/>
        <v>548</v>
      </c>
      <c r="BH873">
        <v>570.1</v>
      </c>
      <c r="BI873">
        <f t="shared" si="212"/>
        <v>548</v>
      </c>
    </row>
    <row r="874" spans="1:61" x14ac:dyDescent="0.2">
      <c r="A874">
        <v>570.1</v>
      </c>
      <c r="B874">
        <f t="shared" si="211"/>
        <v>598</v>
      </c>
      <c r="BH874">
        <v>570.1</v>
      </c>
      <c r="BI874">
        <f t="shared" si="212"/>
        <v>598</v>
      </c>
    </row>
    <row r="875" spans="1:61" x14ac:dyDescent="0.2">
      <c r="A875">
        <v>570.1</v>
      </c>
      <c r="B875">
        <f t="shared" si="211"/>
        <v>648</v>
      </c>
      <c r="BH875">
        <v>570.1</v>
      </c>
      <c r="BI875">
        <f t="shared" si="212"/>
        <v>648</v>
      </c>
    </row>
    <row r="876" spans="1:61" x14ac:dyDescent="0.2">
      <c r="A876">
        <v>570.1</v>
      </c>
      <c r="B876">
        <f t="shared" si="211"/>
        <v>698</v>
      </c>
      <c r="BH876">
        <v>570.1</v>
      </c>
      <c r="BI876">
        <f t="shared" si="212"/>
        <v>698</v>
      </c>
    </row>
    <row r="877" spans="1:61" x14ac:dyDescent="0.2">
      <c r="A877">
        <v>570.1</v>
      </c>
      <c r="B877">
        <f t="shared" si="211"/>
        <v>748</v>
      </c>
      <c r="BH877">
        <v>570.1</v>
      </c>
      <c r="BI877">
        <f t="shared" si="212"/>
        <v>748</v>
      </c>
    </row>
    <row r="878" spans="1:61" x14ac:dyDescent="0.2">
      <c r="A878">
        <v>570.1</v>
      </c>
      <c r="B878">
        <f t="shared" si="211"/>
        <v>798</v>
      </c>
      <c r="BH878">
        <v>570.1</v>
      </c>
      <c r="BI878">
        <f t="shared" si="212"/>
        <v>798</v>
      </c>
    </row>
    <row r="879" spans="1:61" x14ac:dyDescent="0.2">
      <c r="A879">
        <v>570.1</v>
      </c>
      <c r="B879">
        <f t="shared" si="211"/>
        <v>848</v>
      </c>
      <c r="BH879">
        <v>570.1</v>
      </c>
      <c r="BI879">
        <f t="shared" si="212"/>
        <v>848</v>
      </c>
    </row>
    <row r="880" spans="1:61" x14ac:dyDescent="0.2">
      <c r="A880">
        <v>570.1</v>
      </c>
      <c r="B880">
        <f t="shared" si="211"/>
        <v>898</v>
      </c>
      <c r="BH880">
        <v>570.1</v>
      </c>
      <c r="BI880">
        <f t="shared" si="212"/>
        <v>898</v>
      </c>
    </row>
    <row r="881" spans="1:61" x14ac:dyDescent="0.2">
      <c r="A881">
        <v>570.1</v>
      </c>
      <c r="B881">
        <f t="shared" si="211"/>
        <v>948</v>
      </c>
      <c r="BH881">
        <v>570.1</v>
      </c>
      <c r="BI881">
        <f t="shared" si="212"/>
        <v>948</v>
      </c>
    </row>
    <row r="882" spans="1:61" x14ac:dyDescent="0.2">
      <c r="A882">
        <v>1140.0999999999999</v>
      </c>
      <c r="B882">
        <v>298</v>
      </c>
      <c r="BH882">
        <v>1140.0999999999999</v>
      </c>
      <c r="BI882">
        <v>293</v>
      </c>
    </row>
    <row r="883" spans="1:61" x14ac:dyDescent="0.2">
      <c r="A883">
        <v>1140.0999999999999</v>
      </c>
      <c r="B883">
        <f t="shared" ref="B883:B895" si="213">B882+50</f>
        <v>348</v>
      </c>
      <c r="BH883">
        <v>1140.0999999999999</v>
      </c>
      <c r="BI883">
        <f t="shared" ref="BI883:BI895" si="214">BI882+50</f>
        <v>343</v>
      </c>
    </row>
    <row r="884" spans="1:61" x14ac:dyDescent="0.2">
      <c r="A884">
        <v>1140.0999999999999</v>
      </c>
      <c r="B884">
        <f t="shared" si="213"/>
        <v>398</v>
      </c>
      <c r="BH884">
        <v>1140.0999999999999</v>
      </c>
      <c r="BI884">
        <f t="shared" si="214"/>
        <v>393</v>
      </c>
    </row>
    <row r="885" spans="1:61" x14ac:dyDescent="0.2">
      <c r="A885">
        <v>1140.0999999999999</v>
      </c>
      <c r="B885">
        <f t="shared" si="213"/>
        <v>448</v>
      </c>
      <c r="BH885">
        <v>1140.0999999999999</v>
      </c>
      <c r="BI885">
        <f t="shared" si="214"/>
        <v>443</v>
      </c>
    </row>
    <row r="886" spans="1:61" x14ac:dyDescent="0.2">
      <c r="A886">
        <v>1140.0999999999999</v>
      </c>
      <c r="B886">
        <f t="shared" si="213"/>
        <v>498</v>
      </c>
      <c r="BH886">
        <v>1140.0999999999999</v>
      </c>
      <c r="BI886">
        <f t="shared" si="214"/>
        <v>493</v>
      </c>
    </row>
    <row r="887" spans="1:61" x14ac:dyDescent="0.2">
      <c r="A887">
        <v>1140.0999999999999</v>
      </c>
      <c r="B887">
        <f t="shared" si="213"/>
        <v>548</v>
      </c>
      <c r="BH887">
        <v>1140.0999999999999</v>
      </c>
      <c r="BI887">
        <f t="shared" si="214"/>
        <v>543</v>
      </c>
    </row>
    <row r="888" spans="1:61" x14ac:dyDescent="0.2">
      <c r="A888">
        <v>1140.0999999999999</v>
      </c>
      <c r="B888">
        <f t="shared" si="213"/>
        <v>598</v>
      </c>
      <c r="BH888">
        <v>1140.0999999999999</v>
      </c>
      <c r="BI888">
        <f t="shared" si="214"/>
        <v>593</v>
      </c>
    </row>
    <row r="889" spans="1:61" x14ac:dyDescent="0.2">
      <c r="A889">
        <v>1140.0999999999999</v>
      </c>
      <c r="B889">
        <f t="shared" si="213"/>
        <v>648</v>
      </c>
      <c r="BH889">
        <v>1140.0999999999999</v>
      </c>
      <c r="BI889">
        <f t="shared" si="214"/>
        <v>643</v>
      </c>
    </row>
    <row r="890" spans="1:61" x14ac:dyDescent="0.2">
      <c r="A890">
        <v>1140.0999999999999</v>
      </c>
      <c r="B890">
        <f t="shared" si="213"/>
        <v>698</v>
      </c>
      <c r="BH890">
        <v>1140.0999999999999</v>
      </c>
      <c r="BI890">
        <f t="shared" si="214"/>
        <v>693</v>
      </c>
    </row>
    <row r="891" spans="1:61" x14ac:dyDescent="0.2">
      <c r="A891">
        <v>1140.0999999999999</v>
      </c>
      <c r="B891">
        <f t="shared" si="213"/>
        <v>748</v>
      </c>
      <c r="BH891">
        <v>1140.0999999999999</v>
      </c>
      <c r="BI891">
        <f t="shared" si="214"/>
        <v>743</v>
      </c>
    </row>
    <row r="892" spans="1:61" x14ac:dyDescent="0.2">
      <c r="A892">
        <v>1140.0999999999999</v>
      </c>
      <c r="B892">
        <f t="shared" si="213"/>
        <v>798</v>
      </c>
      <c r="BH892">
        <v>1140.0999999999999</v>
      </c>
      <c r="BI892">
        <f t="shared" si="214"/>
        <v>793</v>
      </c>
    </row>
    <row r="893" spans="1:61" x14ac:dyDescent="0.2">
      <c r="A893">
        <v>1140.0999999999999</v>
      </c>
      <c r="B893">
        <f t="shared" si="213"/>
        <v>848</v>
      </c>
      <c r="BH893">
        <v>1140.0999999999999</v>
      </c>
      <c r="BI893">
        <f t="shared" si="214"/>
        <v>843</v>
      </c>
    </row>
    <row r="894" spans="1:61" x14ac:dyDescent="0.2">
      <c r="A894">
        <v>1140.0999999999999</v>
      </c>
      <c r="B894">
        <f t="shared" si="213"/>
        <v>898</v>
      </c>
      <c r="BH894">
        <v>1140.0999999999999</v>
      </c>
      <c r="BI894">
        <f t="shared" si="214"/>
        <v>893</v>
      </c>
    </row>
    <row r="895" spans="1:61" x14ac:dyDescent="0.2">
      <c r="A895">
        <v>1140.0999999999999</v>
      </c>
      <c r="B895">
        <f t="shared" si="213"/>
        <v>948</v>
      </c>
      <c r="BH895">
        <v>1140.0999999999999</v>
      </c>
      <c r="BI895">
        <f t="shared" si="214"/>
        <v>943</v>
      </c>
    </row>
    <row r="896" spans="1:61" x14ac:dyDescent="0.2">
      <c r="A896">
        <v>1711.1</v>
      </c>
      <c r="B896">
        <v>298</v>
      </c>
      <c r="BH896">
        <v>1711.1</v>
      </c>
      <c r="BI896">
        <v>293</v>
      </c>
    </row>
    <row r="897" spans="1:63" x14ac:dyDescent="0.2">
      <c r="A897">
        <v>1711.1</v>
      </c>
      <c r="B897">
        <f t="shared" ref="B897:B909" si="215">B896+50</f>
        <v>348</v>
      </c>
      <c r="BH897">
        <v>1711.1</v>
      </c>
      <c r="BI897">
        <f t="shared" ref="BI897:BI909" si="216">BI896+50</f>
        <v>343</v>
      </c>
    </row>
    <row r="898" spans="1:63" x14ac:dyDescent="0.2">
      <c r="A898">
        <v>1711.1</v>
      </c>
      <c r="B898">
        <f t="shared" si="215"/>
        <v>398</v>
      </c>
      <c r="BH898">
        <v>1711.1</v>
      </c>
      <c r="BI898">
        <f t="shared" si="216"/>
        <v>393</v>
      </c>
    </row>
    <row r="899" spans="1:63" x14ac:dyDescent="0.2">
      <c r="A899">
        <v>1711.1</v>
      </c>
      <c r="B899">
        <f t="shared" si="215"/>
        <v>448</v>
      </c>
      <c r="BH899">
        <v>1711.1</v>
      </c>
      <c r="BI899">
        <f t="shared" si="216"/>
        <v>443</v>
      </c>
    </row>
    <row r="900" spans="1:63" x14ac:dyDescent="0.2">
      <c r="A900">
        <v>1711.1</v>
      </c>
      <c r="B900">
        <f t="shared" si="215"/>
        <v>498</v>
      </c>
      <c r="BH900">
        <v>1711.1</v>
      </c>
      <c r="BI900">
        <f t="shared" si="216"/>
        <v>493</v>
      </c>
    </row>
    <row r="901" spans="1:63" x14ac:dyDescent="0.2">
      <c r="A901">
        <v>1711.1</v>
      </c>
      <c r="B901">
        <f t="shared" si="215"/>
        <v>548</v>
      </c>
      <c r="BH901">
        <v>1711.1</v>
      </c>
      <c r="BI901">
        <f t="shared" si="216"/>
        <v>543</v>
      </c>
    </row>
    <row r="902" spans="1:63" x14ac:dyDescent="0.2">
      <c r="A902">
        <v>1711.1</v>
      </c>
      <c r="B902">
        <f t="shared" si="215"/>
        <v>598</v>
      </c>
      <c r="BH902">
        <v>1711.1</v>
      </c>
      <c r="BI902">
        <f t="shared" si="216"/>
        <v>593</v>
      </c>
    </row>
    <row r="903" spans="1:63" x14ac:dyDescent="0.2">
      <c r="A903">
        <v>1711.1</v>
      </c>
      <c r="B903">
        <f t="shared" si="215"/>
        <v>648</v>
      </c>
      <c r="BH903">
        <v>1711.1</v>
      </c>
      <c r="BI903">
        <f t="shared" si="216"/>
        <v>643</v>
      </c>
    </row>
    <row r="904" spans="1:63" x14ac:dyDescent="0.2">
      <c r="A904">
        <v>1711.1</v>
      </c>
      <c r="B904">
        <f t="shared" si="215"/>
        <v>698</v>
      </c>
      <c r="BH904">
        <v>1711.1</v>
      </c>
      <c r="BI904">
        <f t="shared" si="216"/>
        <v>693</v>
      </c>
    </row>
    <row r="905" spans="1:63" x14ac:dyDescent="0.2">
      <c r="A905">
        <v>1711.1</v>
      </c>
      <c r="B905">
        <f t="shared" si="215"/>
        <v>748</v>
      </c>
      <c r="BH905">
        <v>1711.1</v>
      </c>
      <c r="BI905">
        <f t="shared" si="216"/>
        <v>743</v>
      </c>
    </row>
    <row r="906" spans="1:63" x14ac:dyDescent="0.2">
      <c r="A906">
        <v>1711.1</v>
      </c>
      <c r="B906">
        <f t="shared" si="215"/>
        <v>798</v>
      </c>
      <c r="BH906">
        <v>1711.1</v>
      </c>
      <c r="BI906">
        <f t="shared" si="216"/>
        <v>793</v>
      </c>
    </row>
    <row r="907" spans="1:63" x14ac:dyDescent="0.2">
      <c r="A907">
        <v>1711.1</v>
      </c>
      <c r="B907">
        <f t="shared" si="215"/>
        <v>848</v>
      </c>
      <c r="BH907">
        <v>1711.1</v>
      </c>
      <c r="BI907">
        <f t="shared" si="216"/>
        <v>843</v>
      </c>
    </row>
    <row r="908" spans="1:63" x14ac:dyDescent="0.2">
      <c r="A908">
        <v>1711.1</v>
      </c>
      <c r="B908">
        <f t="shared" si="215"/>
        <v>898</v>
      </c>
      <c r="BH908">
        <v>1711.1</v>
      </c>
      <c r="BI908">
        <f t="shared" si="216"/>
        <v>893</v>
      </c>
    </row>
    <row r="909" spans="1:63" x14ac:dyDescent="0.2">
      <c r="A909">
        <v>1711.1</v>
      </c>
      <c r="B909">
        <f t="shared" si="215"/>
        <v>948</v>
      </c>
      <c r="BH909">
        <v>1711.1</v>
      </c>
      <c r="BI909">
        <f t="shared" si="216"/>
        <v>943</v>
      </c>
    </row>
    <row r="911" spans="1:63" x14ac:dyDescent="0.2">
      <c r="BH911" s="63" t="s">
        <v>68</v>
      </c>
      <c r="BI911" s="63"/>
      <c r="BJ911" s="63"/>
      <c r="BK911" s="63"/>
    </row>
    <row r="912" spans="1:63" ht="19" thickBot="1" x14ac:dyDescent="0.25">
      <c r="BH912" s="35" t="s">
        <v>96</v>
      </c>
      <c r="BI912" s="35" t="s">
        <v>97</v>
      </c>
      <c r="BJ912" s="35" t="s">
        <v>101</v>
      </c>
      <c r="BK912" s="35" t="s">
        <v>100</v>
      </c>
    </row>
    <row r="913" spans="60:63" x14ac:dyDescent="0.2">
      <c r="BH913">
        <v>0.1</v>
      </c>
      <c r="BI913">
        <v>298</v>
      </c>
      <c r="BJ913" t="e">
        <f>BJ795/BJ854</f>
        <v>#DIV/0!</v>
      </c>
      <c r="BK913" t="e">
        <f>0.5*(BJ913^2-2)/(BJ913^2-1)</f>
        <v>#DIV/0!</v>
      </c>
    </row>
    <row r="914" spans="60:63" x14ac:dyDescent="0.2">
      <c r="BH914">
        <v>0.1</v>
      </c>
      <c r="BI914">
        <f t="shared" ref="BI914:BI926" si="217">BI913+50</f>
        <v>348</v>
      </c>
      <c r="BJ914" t="e">
        <f t="shared" ref="BJ914:BJ968" si="218">BJ796/BJ855</f>
        <v>#DIV/0!</v>
      </c>
      <c r="BK914" t="e">
        <f t="shared" ref="BK914:BK968" si="219">0.5*(BJ914^2-2)/(BJ914^2-1)</f>
        <v>#DIV/0!</v>
      </c>
    </row>
    <row r="915" spans="60:63" x14ac:dyDescent="0.2">
      <c r="BH915">
        <v>0.1</v>
      </c>
      <c r="BI915">
        <f t="shared" si="217"/>
        <v>398</v>
      </c>
      <c r="BJ915" t="e">
        <f t="shared" si="218"/>
        <v>#DIV/0!</v>
      </c>
      <c r="BK915" t="e">
        <f t="shared" si="219"/>
        <v>#DIV/0!</v>
      </c>
    </row>
    <row r="916" spans="60:63" x14ac:dyDescent="0.2">
      <c r="BH916">
        <v>0.1</v>
      </c>
      <c r="BI916">
        <f t="shared" si="217"/>
        <v>448</v>
      </c>
      <c r="BJ916" t="e">
        <f t="shared" si="218"/>
        <v>#DIV/0!</v>
      </c>
      <c r="BK916" t="e">
        <f t="shared" si="219"/>
        <v>#DIV/0!</v>
      </c>
    </row>
    <row r="917" spans="60:63" x14ac:dyDescent="0.2">
      <c r="BH917">
        <v>0.1</v>
      </c>
      <c r="BI917">
        <f t="shared" si="217"/>
        <v>498</v>
      </c>
      <c r="BJ917" t="e">
        <f t="shared" si="218"/>
        <v>#DIV/0!</v>
      </c>
      <c r="BK917" t="e">
        <f t="shared" si="219"/>
        <v>#DIV/0!</v>
      </c>
    </row>
    <row r="918" spans="60:63" x14ac:dyDescent="0.2">
      <c r="BH918">
        <v>0.1</v>
      </c>
      <c r="BI918">
        <f t="shared" si="217"/>
        <v>548</v>
      </c>
      <c r="BJ918" t="e">
        <f t="shared" si="218"/>
        <v>#DIV/0!</v>
      </c>
      <c r="BK918" t="e">
        <f t="shared" si="219"/>
        <v>#DIV/0!</v>
      </c>
    </row>
    <row r="919" spans="60:63" x14ac:dyDescent="0.2">
      <c r="BH919">
        <v>0.1</v>
      </c>
      <c r="BI919">
        <f t="shared" si="217"/>
        <v>598</v>
      </c>
      <c r="BJ919" t="e">
        <f t="shared" si="218"/>
        <v>#DIV/0!</v>
      </c>
      <c r="BK919" t="e">
        <f t="shared" si="219"/>
        <v>#DIV/0!</v>
      </c>
    </row>
    <row r="920" spans="60:63" x14ac:dyDescent="0.2">
      <c r="BH920">
        <v>0.1</v>
      </c>
      <c r="BI920">
        <f t="shared" si="217"/>
        <v>648</v>
      </c>
      <c r="BJ920" t="e">
        <f t="shared" si="218"/>
        <v>#DIV/0!</v>
      </c>
      <c r="BK920" t="e">
        <f t="shared" si="219"/>
        <v>#DIV/0!</v>
      </c>
    </row>
    <row r="921" spans="60:63" x14ac:dyDescent="0.2">
      <c r="BH921">
        <v>0.1</v>
      </c>
      <c r="BI921">
        <f t="shared" si="217"/>
        <v>698</v>
      </c>
      <c r="BJ921" t="e">
        <f t="shared" si="218"/>
        <v>#DIV/0!</v>
      </c>
      <c r="BK921" t="e">
        <f t="shared" si="219"/>
        <v>#DIV/0!</v>
      </c>
    </row>
    <row r="922" spans="60:63" x14ac:dyDescent="0.2">
      <c r="BH922">
        <v>0.1</v>
      </c>
      <c r="BI922">
        <f t="shared" si="217"/>
        <v>748</v>
      </c>
      <c r="BJ922" t="e">
        <f t="shared" si="218"/>
        <v>#DIV/0!</v>
      </c>
      <c r="BK922" t="e">
        <f t="shared" si="219"/>
        <v>#DIV/0!</v>
      </c>
    </row>
    <row r="923" spans="60:63" x14ac:dyDescent="0.2">
      <c r="BH923">
        <v>0.1</v>
      </c>
      <c r="BI923">
        <f t="shared" si="217"/>
        <v>798</v>
      </c>
      <c r="BJ923" t="e">
        <f t="shared" si="218"/>
        <v>#DIV/0!</v>
      </c>
      <c r="BK923" t="e">
        <f t="shared" si="219"/>
        <v>#DIV/0!</v>
      </c>
    </row>
    <row r="924" spans="60:63" x14ac:dyDescent="0.2">
      <c r="BH924">
        <v>0.1</v>
      </c>
      <c r="BI924">
        <f t="shared" si="217"/>
        <v>848</v>
      </c>
      <c r="BJ924" t="e">
        <f t="shared" si="218"/>
        <v>#DIV/0!</v>
      </c>
      <c r="BK924" t="e">
        <f t="shared" si="219"/>
        <v>#DIV/0!</v>
      </c>
    </row>
    <row r="925" spans="60:63" x14ac:dyDescent="0.2">
      <c r="BH925">
        <v>0.1</v>
      </c>
      <c r="BI925">
        <f t="shared" si="217"/>
        <v>898</v>
      </c>
      <c r="BJ925" t="e">
        <f t="shared" si="218"/>
        <v>#DIV/0!</v>
      </c>
      <c r="BK925" t="e">
        <f t="shared" si="219"/>
        <v>#DIV/0!</v>
      </c>
    </row>
    <row r="926" spans="60:63" x14ac:dyDescent="0.2">
      <c r="BH926">
        <v>0.1</v>
      </c>
      <c r="BI926">
        <f t="shared" si="217"/>
        <v>948</v>
      </c>
      <c r="BJ926" t="e">
        <f t="shared" si="218"/>
        <v>#DIV/0!</v>
      </c>
      <c r="BK926" t="e">
        <f t="shared" si="219"/>
        <v>#DIV/0!</v>
      </c>
    </row>
    <row r="927" spans="60:63" x14ac:dyDescent="0.2">
      <c r="BH927">
        <v>570.1</v>
      </c>
      <c r="BI927">
        <v>298</v>
      </c>
      <c r="BJ927" t="e">
        <f t="shared" si="218"/>
        <v>#DIV/0!</v>
      </c>
      <c r="BK927" t="e">
        <f t="shared" si="219"/>
        <v>#DIV/0!</v>
      </c>
    </row>
    <row r="928" spans="60:63" x14ac:dyDescent="0.2">
      <c r="BH928">
        <v>570.1</v>
      </c>
      <c r="BI928">
        <f t="shared" ref="BI928:BI940" si="220">BI927+50</f>
        <v>348</v>
      </c>
      <c r="BJ928" t="e">
        <f t="shared" si="218"/>
        <v>#DIV/0!</v>
      </c>
      <c r="BK928" t="e">
        <f t="shared" si="219"/>
        <v>#DIV/0!</v>
      </c>
    </row>
    <row r="929" spans="60:63" x14ac:dyDescent="0.2">
      <c r="BH929">
        <v>570.1</v>
      </c>
      <c r="BI929">
        <f t="shared" si="220"/>
        <v>398</v>
      </c>
      <c r="BJ929" t="e">
        <f t="shared" si="218"/>
        <v>#DIV/0!</v>
      </c>
      <c r="BK929" t="e">
        <f t="shared" si="219"/>
        <v>#DIV/0!</v>
      </c>
    </row>
    <row r="930" spans="60:63" x14ac:dyDescent="0.2">
      <c r="BH930">
        <v>570.1</v>
      </c>
      <c r="BI930">
        <f t="shared" si="220"/>
        <v>448</v>
      </c>
      <c r="BJ930" t="e">
        <f t="shared" si="218"/>
        <v>#DIV/0!</v>
      </c>
      <c r="BK930" t="e">
        <f t="shared" si="219"/>
        <v>#DIV/0!</v>
      </c>
    </row>
    <row r="931" spans="60:63" x14ac:dyDescent="0.2">
      <c r="BH931">
        <v>570.1</v>
      </c>
      <c r="BI931">
        <f t="shared" si="220"/>
        <v>498</v>
      </c>
      <c r="BJ931" t="e">
        <f t="shared" si="218"/>
        <v>#DIV/0!</v>
      </c>
      <c r="BK931" t="e">
        <f t="shared" si="219"/>
        <v>#DIV/0!</v>
      </c>
    </row>
    <row r="932" spans="60:63" x14ac:dyDescent="0.2">
      <c r="BH932">
        <v>570.1</v>
      </c>
      <c r="BI932">
        <f t="shared" si="220"/>
        <v>548</v>
      </c>
      <c r="BJ932" t="e">
        <f t="shared" si="218"/>
        <v>#DIV/0!</v>
      </c>
      <c r="BK932" t="e">
        <f t="shared" si="219"/>
        <v>#DIV/0!</v>
      </c>
    </row>
    <row r="933" spans="60:63" x14ac:dyDescent="0.2">
      <c r="BH933">
        <v>570.1</v>
      </c>
      <c r="BI933">
        <f t="shared" si="220"/>
        <v>598</v>
      </c>
      <c r="BJ933" t="e">
        <f t="shared" si="218"/>
        <v>#DIV/0!</v>
      </c>
      <c r="BK933" t="e">
        <f t="shared" si="219"/>
        <v>#DIV/0!</v>
      </c>
    </row>
    <row r="934" spans="60:63" x14ac:dyDescent="0.2">
      <c r="BH934">
        <v>570.1</v>
      </c>
      <c r="BI934">
        <f t="shared" si="220"/>
        <v>648</v>
      </c>
      <c r="BJ934" t="e">
        <f t="shared" si="218"/>
        <v>#DIV/0!</v>
      </c>
      <c r="BK934" t="e">
        <f t="shared" si="219"/>
        <v>#DIV/0!</v>
      </c>
    </row>
    <row r="935" spans="60:63" x14ac:dyDescent="0.2">
      <c r="BH935">
        <v>570.1</v>
      </c>
      <c r="BI935">
        <f t="shared" si="220"/>
        <v>698</v>
      </c>
      <c r="BJ935" t="e">
        <f t="shared" si="218"/>
        <v>#DIV/0!</v>
      </c>
      <c r="BK935" t="e">
        <f t="shared" si="219"/>
        <v>#DIV/0!</v>
      </c>
    </row>
    <row r="936" spans="60:63" x14ac:dyDescent="0.2">
      <c r="BH936">
        <v>570.1</v>
      </c>
      <c r="BI936">
        <f t="shared" si="220"/>
        <v>748</v>
      </c>
      <c r="BJ936" t="e">
        <f t="shared" si="218"/>
        <v>#DIV/0!</v>
      </c>
      <c r="BK936" t="e">
        <f t="shared" si="219"/>
        <v>#DIV/0!</v>
      </c>
    </row>
    <row r="937" spans="60:63" x14ac:dyDescent="0.2">
      <c r="BH937">
        <v>570.1</v>
      </c>
      <c r="BI937">
        <f t="shared" si="220"/>
        <v>798</v>
      </c>
      <c r="BJ937" t="e">
        <f t="shared" si="218"/>
        <v>#DIV/0!</v>
      </c>
      <c r="BK937" t="e">
        <f t="shared" si="219"/>
        <v>#DIV/0!</v>
      </c>
    </row>
    <row r="938" spans="60:63" x14ac:dyDescent="0.2">
      <c r="BH938">
        <v>570.1</v>
      </c>
      <c r="BI938">
        <f t="shared" si="220"/>
        <v>848</v>
      </c>
      <c r="BJ938" t="e">
        <f t="shared" si="218"/>
        <v>#DIV/0!</v>
      </c>
      <c r="BK938" t="e">
        <f t="shared" si="219"/>
        <v>#DIV/0!</v>
      </c>
    </row>
    <row r="939" spans="60:63" x14ac:dyDescent="0.2">
      <c r="BH939">
        <v>570.1</v>
      </c>
      <c r="BI939">
        <f t="shared" si="220"/>
        <v>898</v>
      </c>
      <c r="BJ939" t="e">
        <f t="shared" si="218"/>
        <v>#DIV/0!</v>
      </c>
      <c r="BK939" t="e">
        <f t="shared" si="219"/>
        <v>#DIV/0!</v>
      </c>
    </row>
    <row r="940" spans="60:63" x14ac:dyDescent="0.2">
      <c r="BH940">
        <v>570.1</v>
      </c>
      <c r="BI940">
        <f t="shared" si="220"/>
        <v>948</v>
      </c>
      <c r="BJ940" t="e">
        <f t="shared" si="218"/>
        <v>#DIV/0!</v>
      </c>
      <c r="BK940" t="e">
        <f t="shared" si="219"/>
        <v>#DIV/0!</v>
      </c>
    </row>
    <row r="941" spans="60:63" x14ac:dyDescent="0.2">
      <c r="BH941">
        <v>1140.0999999999999</v>
      </c>
      <c r="BI941">
        <v>293</v>
      </c>
      <c r="BJ941" t="e">
        <f t="shared" si="218"/>
        <v>#DIV/0!</v>
      </c>
      <c r="BK941" t="e">
        <f t="shared" si="219"/>
        <v>#DIV/0!</v>
      </c>
    </row>
    <row r="942" spans="60:63" x14ac:dyDescent="0.2">
      <c r="BH942">
        <v>1140.0999999999999</v>
      </c>
      <c r="BI942">
        <f t="shared" ref="BI942:BI954" si="221">BI941+50</f>
        <v>343</v>
      </c>
      <c r="BJ942" t="e">
        <f t="shared" si="218"/>
        <v>#DIV/0!</v>
      </c>
      <c r="BK942" t="e">
        <f t="shared" si="219"/>
        <v>#DIV/0!</v>
      </c>
    </row>
    <row r="943" spans="60:63" x14ac:dyDescent="0.2">
      <c r="BH943">
        <v>1140.0999999999999</v>
      </c>
      <c r="BI943">
        <f t="shared" si="221"/>
        <v>393</v>
      </c>
      <c r="BJ943" t="e">
        <f t="shared" si="218"/>
        <v>#DIV/0!</v>
      </c>
      <c r="BK943" t="e">
        <f t="shared" si="219"/>
        <v>#DIV/0!</v>
      </c>
    </row>
    <row r="944" spans="60:63" x14ac:dyDescent="0.2">
      <c r="BH944">
        <v>1140.0999999999999</v>
      </c>
      <c r="BI944">
        <f t="shared" si="221"/>
        <v>443</v>
      </c>
      <c r="BJ944" t="e">
        <f t="shared" si="218"/>
        <v>#DIV/0!</v>
      </c>
      <c r="BK944" t="e">
        <f t="shared" si="219"/>
        <v>#DIV/0!</v>
      </c>
    </row>
    <row r="945" spans="60:63" x14ac:dyDescent="0.2">
      <c r="BH945">
        <v>1140.0999999999999</v>
      </c>
      <c r="BI945">
        <f t="shared" si="221"/>
        <v>493</v>
      </c>
      <c r="BJ945" t="e">
        <f t="shared" si="218"/>
        <v>#DIV/0!</v>
      </c>
      <c r="BK945" t="e">
        <f t="shared" si="219"/>
        <v>#DIV/0!</v>
      </c>
    </row>
    <row r="946" spans="60:63" x14ac:dyDescent="0.2">
      <c r="BH946">
        <v>1140.0999999999999</v>
      </c>
      <c r="BI946">
        <f t="shared" si="221"/>
        <v>543</v>
      </c>
      <c r="BJ946" t="e">
        <f t="shared" si="218"/>
        <v>#DIV/0!</v>
      </c>
      <c r="BK946" t="e">
        <f t="shared" si="219"/>
        <v>#DIV/0!</v>
      </c>
    </row>
    <row r="947" spans="60:63" x14ac:dyDescent="0.2">
      <c r="BH947">
        <v>1140.0999999999999</v>
      </c>
      <c r="BI947">
        <f t="shared" si="221"/>
        <v>593</v>
      </c>
      <c r="BJ947" t="e">
        <f t="shared" si="218"/>
        <v>#DIV/0!</v>
      </c>
      <c r="BK947" t="e">
        <f t="shared" si="219"/>
        <v>#DIV/0!</v>
      </c>
    </row>
    <row r="948" spans="60:63" x14ac:dyDescent="0.2">
      <c r="BH948">
        <v>1140.0999999999999</v>
      </c>
      <c r="BI948">
        <f t="shared" si="221"/>
        <v>643</v>
      </c>
      <c r="BJ948" t="e">
        <f t="shared" si="218"/>
        <v>#DIV/0!</v>
      </c>
      <c r="BK948" t="e">
        <f t="shared" si="219"/>
        <v>#DIV/0!</v>
      </c>
    </row>
    <row r="949" spans="60:63" x14ac:dyDescent="0.2">
      <c r="BH949">
        <v>1140.0999999999999</v>
      </c>
      <c r="BI949">
        <f t="shared" si="221"/>
        <v>693</v>
      </c>
      <c r="BJ949" t="e">
        <f t="shared" si="218"/>
        <v>#DIV/0!</v>
      </c>
      <c r="BK949" t="e">
        <f t="shared" si="219"/>
        <v>#DIV/0!</v>
      </c>
    </row>
    <row r="950" spans="60:63" x14ac:dyDescent="0.2">
      <c r="BH950">
        <v>1140.0999999999999</v>
      </c>
      <c r="BI950">
        <f t="shared" si="221"/>
        <v>743</v>
      </c>
      <c r="BJ950" t="e">
        <f t="shared" si="218"/>
        <v>#DIV/0!</v>
      </c>
      <c r="BK950" t="e">
        <f t="shared" si="219"/>
        <v>#DIV/0!</v>
      </c>
    </row>
    <row r="951" spans="60:63" x14ac:dyDescent="0.2">
      <c r="BH951">
        <v>1140.0999999999999</v>
      </c>
      <c r="BI951">
        <f t="shared" si="221"/>
        <v>793</v>
      </c>
      <c r="BJ951" t="e">
        <f t="shared" si="218"/>
        <v>#DIV/0!</v>
      </c>
      <c r="BK951" t="e">
        <f t="shared" si="219"/>
        <v>#DIV/0!</v>
      </c>
    </row>
    <row r="952" spans="60:63" x14ac:dyDescent="0.2">
      <c r="BH952">
        <v>1140.0999999999999</v>
      </c>
      <c r="BI952">
        <f t="shared" si="221"/>
        <v>843</v>
      </c>
      <c r="BJ952" t="e">
        <f t="shared" si="218"/>
        <v>#DIV/0!</v>
      </c>
      <c r="BK952" t="e">
        <f t="shared" si="219"/>
        <v>#DIV/0!</v>
      </c>
    </row>
    <row r="953" spans="60:63" x14ac:dyDescent="0.2">
      <c r="BH953">
        <v>1140.0999999999999</v>
      </c>
      <c r="BI953">
        <f t="shared" si="221"/>
        <v>893</v>
      </c>
      <c r="BJ953" t="e">
        <f t="shared" si="218"/>
        <v>#DIV/0!</v>
      </c>
      <c r="BK953" t="e">
        <f t="shared" si="219"/>
        <v>#DIV/0!</v>
      </c>
    </row>
    <row r="954" spans="60:63" x14ac:dyDescent="0.2">
      <c r="BH954">
        <v>1140.0999999999999</v>
      </c>
      <c r="BI954">
        <f t="shared" si="221"/>
        <v>943</v>
      </c>
      <c r="BJ954" t="e">
        <f t="shared" si="218"/>
        <v>#DIV/0!</v>
      </c>
      <c r="BK954" t="e">
        <f t="shared" si="219"/>
        <v>#DIV/0!</v>
      </c>
    </row>
    <row r="955" spans="60:63" x14ac:dyDescent="0.2">
      <c r="BH955">
        <v>1711.1</v>
      </c>
      <c r="BI955">
        <v>293</v>
      </c>
      <c r="BJ955" t="e">
        <f t="shared" si="218"/>
        <v>#DIV/0!</v>
      </c>
      <c r="BK955" t="e">
        <f t="shared" si="219"/>
        <v>#DIV/0!</v>
      </c>
    </row>
    <row r="956" spans="60:63" x14ac:dyDescent="0.2">
      <c r="BH956">
        <v>1711.1</v>
      </c>
      <c r="BI956">
        <f t="shared" ref="BI956:BI968" si="222">BI955+50</f>
        <v>343</v>
      </c>
      <c r="BJ956" t="e">
        <f t="shared" si="218"/>
        <v>#DIV/0!</v>
      </c>
      <c r="BK956" t="e">
        <f t="shared" si="219"/>
        <v>#DIV/0!</v>
      </c>
    </row>
    <row r="957" spans="60:63" x14ac:dyDescent="0.2">
      <c r="BH957">
        <v>1711.1</v>
      </c>
      <c r="BI957">
        <f t="shared" si="222"/>
        <v>393</v>
      </c>
      <c r="BJ957" t="e">
        <f t="shared" si="218"/>
        <v>#DIV/0!</v>
      </c>
      <c r="BK957" t="e">
        <f t="shared" si="219"/>
        <v>#DIV/0!</v>
      </c>
    </row>
    <row r="958" spans="60:63" x14ac:dyDescent="0.2">
      <c r="BH958">
        <v>1711.1</v>
      </c>
      <c r="BI958">
        <f t="shared" si="222"/>
        <v>443</v>
      </c>
      <c r="BJ958" t="e">
        <f t="shared" si="218"/>
        <v>#DIV/0!</v>
      </c>
      <c r="BK958" t="e">
        <f t="shared" si="219"/>
        <v>#DIV/0!</v>
      </c>
    </row>
    <row r="959" spans="60:63" x14ac:dyDescent="0.2">
      <c r="BH959">
        <v>1711.1</v>
      </c>
      <c r="BI959">
        <f t="shared" si="222"/>
        <v>493</v>
      </c>
      <c r="BJ959" t="e">
        <f t="shared" si="218"/>
        <v>#DIV/0!</v>
      </c>
      <c r="BK959" t="e">
        <f t="shared" si="219"/>
        <v>#DIV/0!</v>
      </c>
    </row>
    <row r="960" spans="60:63" x14ac:dyDescent="0.2">
      <c r="BH960">
        <v>1711.1</v>
      </c>
      <c r="BI960">
        <f t="shared" si="222"/>
        <v>543</v>
      </c>
      <c r="BJ960" t="e">
        <f t="shared" si="218"/>
        <v>#DIV/0!</v>
      </c>
      <c r="BK960" t="e">
        <f t="shared" si="219"/>
        <v>#DIV/0!</v>
      </c>
    </row>
    <row r="961" spans="60:63" x14ac:dyDescent="0.2">
      <c r="BH961">
        <v>1711.1</v>
      </c>
      <c r="BI961">
        <f t="shared" si="222"/>
        <v>593</v>
      </c>
      <c r="BJ961" t="e">
        <f t="shared" si="218"/>
        <v>#DIV/0!</v>
      </c>
      <c r="BK961" t="e">
        <f t="shared" si="219"/>
        <v>#DIV/0!</v>
      </c>
    </row>
    <row r="962" spans="60:63" x14ac:dyDescent="0.2">
      <c r="BH962">
        <v>1711.1</v>
      </c>
      <c r="BI962">
        <f t="shared" si="222"/>
        <v>643</v>
      </c>
      <c r="BJ962" t="e">
        <f t="shared" si="218"/>
        <v>#DIV/0!</v>
      </c>
      <c r="BK962" t="e">
        <f t="shared" si="219"/>
        <v>#DIV/0!</v>
      </c>
    </row>
    <row r="963" spans="60:63" x14ac:dyDescent="0.2">
      <c r="BH963">
        <v>1711.1</v>
      </c>
      <c r="BI963">
        <f t="shared" si="222"/>
        <v>693</v>
      </c>
      <c r="BJ963" t="e">
        <f t="shared" si="218"/>
        <v>#DIV/0!</v>
      </c>
      <c r="BK963" t="e">
        <f t="shared" si="219"/>
        <v>#DIV/0!</v>
      </c>
    </row>
    <row r="964" spans="60:63" x14ac:dyDescent="0.2">
      <c r="BH964">
        <v>1711.1</v>
      </c>
      <c r="BI964">
        <f t="shared" si="222"/>
        <v>743</v>
      </c>
      <c r="BJ964" t="e">
        <f t="shared" si="218"/>
        <v>#DIV/0!</v>
      </c>
      <c r="BK964" t="e">
        <f t="shared" si="219"/>
        <v>#DIV/0!</v>
      </c>
    </row>
    <row r="965" spans="60:63" x14ac:dyDescent="0.2">
      <c r="BH965">
        <v>1711.1</v>
      </c>
      <c r="BI965">
        <f t="shared" si="222"/>
        <v>793</v>
      </c>
      <c r="BJ965" t="e">
        <f t="shared" si="218"/>
        <v>#DIV/0!</v>
      </c>
      <c r="BK965" t="e">
        <f t="shared" si="219"/>
        <v>#DIV/0!</v>
      </c>
    </row>
    <row r="966" spans="60:63" x14ac:dyDescent="0.2">
      <c r="BH966">
        <v>1711.1</v>
      </c>
      <c r="BI966">
        <f t="shared" si="222"/>
        <v>843</v>
      </c>
      <c r="BJ966" t="e">
        <f t="shared" si="218"/>
        <v>#DIV/0!</v>
      </c>
      <c r="BK966" t="e">
        <f t="shared" si="219"/>
        <v>#DIV/0!</v>
      </c>
    </row>
    <row r="967" spans="60:63" x14ac:dyDescent="0.2">
      <c r="BH967">
        <v>1711.1</v>
      </c>
      <c r="BI967">
        <f t="shared" si="222"/>
        <v>893</v>
      </c>
      <c r="BJ967" t="e">
        <f t="shared" si="218"/>
        <v>#DIV/0!</v>
      </c>
      <c r="BK967" t="e">
        <f t="shared" si="219"/>
        <v>#DIV/0!</v>
      </c>
    </row>
    <row r="968" spans="60:63" x14ac:dyDescent="0.2">
      <c r="BH968">
        <v>1711.1</v>
      </c>
      <c r="BI968">
        <f t="shared" si="222"/>
        <v>943</v>
      </c>
      <c r="BJ968" t="e">
        <f t="shared" si="218"/>
        <v>#DIV/0!</v>
      </c>
      <c r="BK968" t="e">
        <f t="shared" si="219"/>
        <v>#DIV/0!</v>
      </c>
    </row>
  </sheetData>
  <mergeCells count="41">
    <mergeCell ref="B616:T616"/>
    <mergeCell ref="BH911:BK911"/>
    <mergeCell ref="X21:AO21"/>
    <mergeCell ref="BH380:BJ380"/>
    <mergeCell ref="V675:AM675"/>
    <mergeCell ref="V793:AM793"/>
    <mergeCell ref="AO439:AQ439"/>
    <mergeCell ref="AO498:AQ498"/>
    <mergeCell ref="BH557:BJ557"/>
    <mergeCell ref="BH675:BJ675"/>
    <mergeCell ref="AO675:BF675"/>
    <mergeCell ref="AO734:AQ734"/>
    <mergeCell ref="V734:AM734"/>
    <mergeCell ref="AO852:BF852"/>
    <mergeCell ref="BH852:BJ852"/>
    <mergeCell ref="A11:A14"/>
    <mergeCell ref="B25:T25"/>
    <mergeCell ref="B85:T85"/>
    <mergeCell ref="AO380:BF380"/>
    <mergeCell ref="AO557:BF557"/>
    <mergeCell ref="B852:T852"/>
    <mergeCell ref="V852:AM852"/>
    <mergeCell ref="A1:T1"/>
    <mergeCell ref="V557:AM557"/>
    <mergeCell ref="V498:AM498"/>
    <mergeCell ref="V439:AM439"/>
    <mergeCell ref="V380:AM380"/>
    <mergeCell ref="B144:T144"/>
    <mergeCell ref="B203:T203"/>
    <mergeCell ref="B262:T262"/>
    <mergeCell ref="B321:T321"/>
    <mergeCell ref="B380:T380"/>
    <mergeCell ref="B439:T439"/>
    <mergeCell ref="B498:T498"/>
    <mergeCell ref="B557:T557"/>
    <mergeCell ref="A8:A10"/>
    <mergeCell ref="AO793:BF793"/>
    <mergeCell ref="BH793:BJ793"/>
    <mergeCell ref="B675:T675"/>
    <mergeCell ref="B734:T734"/>
    <mergeCell ref="B793:T793"/>
  </mergeCell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64"/>
  <sheetViews>
    <sheetView tabSelected="1" topLeftCell="A27" zoomScale="125" zoomScaleNormal="125" zoomScalePageLayoutView="125" workbookViewId="0">
      <selection activeCell="C44" sqref="C44"/>
    </sheetView>
  </sheetViews>
  <sheetFormatPr baseColWidth="10" defaultRowHeight="16" x14ac:dyDescent="0.2"/>
  <cols>
    <col min="2" max="2" width="12" customWidth="1"/>
    <col min="3" max="3" width="12.1640625" bestFit="1" customWidth="1"/>
    <col min="5" max="5" width="13" customWidth="1"/>
    <col min="6" max="6" width="13.33203125" customWidth="1"/>
  </cols>
  <sheetData>
    <row r="1" spans="1:12" x14ac:dyDescent="0.2">
      <c r="A1" s="48" t="s">
        <v>148</v>
      </c>
    </row>
    <row r="2" spans="1:12" s="41" customFormat="1" ht="30" customHeight="1" x14ac:dyDescent="0.2">
      <c r="A2" s="45" t="s">
        <v>64</v>
      </c>
      <c r="B2" s="45" t="s">
        <v>65</v>
      </c>
      <c r="C2" s="45" t="s">
        <v>117</v>
      </c>
      <c r="D2" s="45" t="s">
        <v>118</v>
      </c>
      <c r="E2" s="45" t="s">
        <v>119</v>
      </c>
      <c r="F2" s="45" t="s">
        <v>120</v>
      </c>
      <c r="G2" s="45" t="s">
        <v>121</v>
      </c>
      <c r="H2" s="45" t="s">
        <v>122</v>
      </c>
      <c r="I2" s="45" t="s">
        <v>123</v>
      </c>
      <c r="J2" s="45" t="s">
        <v>124</v>
      </c>
      <c r="K2" s="36" t="s">
        <v>136</v>
      </c>
      <c r="L2" s="45" t="s">
        <v>130</v>
      </c>
    </row>
    <row r="3" spans="1:12" ht="20" thickBot="1" x14ac:dyDescent="0.25">
      <c r="A3" s="35" t="s">
        <v>115</v>
      </c>
      <c r="B3" s="35" t="s">
        <v>116</v>
      </c>
      <c r="C3" s="32" t="s">
        <v>129</v>
      </c>
      <c r="D3" s="32" t="s">
        <v>128</v>
      </c>
      <c r="E3" s="32" t="s">
        <v>125</v>
      </c>
      <c r="F3" s="32" t="s">
        <v>125</v>
      </c>
      <c r="G3" s="32" t="s">
        <v>125</v>
      </c>
      <c r="H3" s="32" t="s">
        <v>127</v>
      </c>
      <c r="I3" s="32" t="s">
        <v>126</v>
      </c>
      <c r="J3" s="32" t="s">
        <v>126</v>
      </c>
      <c r="K3" s="49" t="s">
        <v>135</v>
      </c>
      <c r="L3" s="49" t="s">
        <v>135</v>
      </c>
    </row>
    <row r="4" spans="1:12" x14ac:dyDescent="0.2">
      <c r="A4">
        <v>0.1</v>
      </c>
      <c r="B4">
        <v>298</v>
      </c>
      <c r="C4" s="44">
        <f>Computations!AQ500</f>
        <v>0</v>
      </c>
      <c r="D4" s="43" t="e">
        <f>Computations!AQ441</f>
        <v>#DIV/0!</v>
      </c>
      <c r="E4" s="42">
        <f>Computations!BJ382+Figures!BJ386</f>
        <v>0</v>
      </c>
      <c r="F4" s="42">
        <f>Computations!BJ559</f>
        <v>0</v>
      </c>
      <c r="G4" s="42">
        <f>Computations!BJ677</f>
        <v>0</v>
      </c>
      <c r="H4" s="43">
        <f>Computations!AQ736</f>
        <v>0</v>
      </c>
      <c r="I4" s="42">
        <f>Computations!BJ795</f>
        <v>0</v>
      </c>
      <c r="J4" s="42">
        <f>Computations!BJ854</f>
        <v>0</v>
      </c>
      <c r="K4" s="42" t="e">
        <f>I4/J4</f>
        <v>#DIV/0!</v>
      </c>
      <c r="L4" s="42" t="e">
        <f>0.5*(K4^2-2)/(K4^2-1)</f>
        <v>#DIV/0!</v>
      </c>
    </row>
    <row r="5" spans="1:12" x14ac:dyDescent="0.2">
      <c r="A5">
        <v>0.1</v>
      </c>
      <c r="B5">
        <f t="shared" ref="B5:B17" si="0">B4+50</f>
        <v>348</v>
      </c>
      <c r="C5" s="44">
        <f>Computations!AQ501</f>
        <v>0</v>
      </c>
      <c r="D5" s="43" t="e">
        <f>Computations!AQ442</f>
        <v>#DIV/0!</v>
      </c>
      <c r="E5" s="42">
        <f>Computations!BJ383+Figures!BJ387</f>
        <v>0</v>
      </c>
      <c r="F5" s="42">
        <f>Computations!BJ560</f>
        <v>0</v>
      </c>
      <c r="G5" s="42">
        <f>Computations!BJ678</f>
        <v>0</v>
      </c>
      <c r="H5" s="43">
        <f>Computations!AQ737</f>
        <v>0</v>
      </c>
      <c r="I5" s="42">
        <f>Computations!BJ796</f>
        <v>0</v>
      </c>
      <c r="J5" s="42">
        <f>Computations!BJ855</f>
        <v>0</v>
      </c>
      <c r="K5" s="42" t="e">
        <f t="shared" ref="K5:K59" si="1">I5/J5</f>
        <v>#DIV/0!</v>
      </c>
      <c r="L5" s="42" t="e">
        <f t="shared" ref="L5:L59" si="2">0.5*(K5^2-2)/(K5^2-1)</f>
        <v>#DIV/0!</v>
      </c>
    </row>
    <row r="6" spans="1:12" x14ac:dyDescent="0.2">
      <c r="A6">
        <v>0.1</v>
      </c>
      <c r="B6">
        <f t="shared" si="0"/>
        <v>398</v>
      </c>
      <c r="C6" s="44">
        <f>Computations!AQ502</f>
        <v>0</v>
      </c>
      <c r="D6" s="43" t="e">
        <f>Computations!AQ443</f>
        <v>#DIV/0!</v>
      </c>
      <c r="E6" s="42">
        <f>Computations!BJ384+Figures!BJ388</f>
        <v>0</v>
      </c>
      <c r="F6" s="42">
        <f>Computations!BJ561</f>
        <v>0</v>
      </c>
      <c r="G6" s="42">
        <f>Computations!BJ679</f>
        <v>0</v>
      </c>
      <c r="H6" s="43">
        <f>Computations!AQ738</f>
        <v>0</v>
      </c>
      <c r="I6" s="42">
        <f>Computations!BJ797</f>
        <v>0</v>
      </c>
      <c r="J6" s="42">
        <f>Computations!BJ856</f>
        <v>0</v>
      </c>
      <c r="K6" s="42" t="e">
        <f t="shared" si="1"/>
        <v>#DIV/0!</v>
      </c>
      <c r="L6" s="42" t="e">
        <f t="shared" si="2"/>
        <v>#DIV/0!</v>
      </c>
    </row>
    <row r="7" spans="1:12" x14ac:dyDescent="0.2">
      <c r="A7">
        <v>0.1</v>
      </c>
      <c r="B7">
        <f t="shared" si="0"/>
        <v>448</v>
      </c>
      <c r="C7" s="44">
        <f>Computations!AQ503</f>
        <v>0</v>
      </c>
      <c r="D7" s="43" t="e">
        <f>Computations!AQ444</f>
        <v>#DIV/0!</v>
      </c>
      <c r="E7" s="42">
        <f>Computations!BJ385+Figures!BJ389</f>
        <v>0</v>
      </c>
      <c r="F7" s="42">
        <f>Computations!BJ562</f>
        <v>0</v>
      </c>
      <c r="G7" s="42">
        <f>Computations!BJ680</f>
        <v>0</v>
      </c>
      <c r="H7" s="43">
        <f>Computations!AQ739</f>
        <v>0</v>
      </c>
      <c r="I7" s="42">
        <f>Computations!BJ798</f>
        <v>0</v>
      </c>
      <c r="J7" s="42">
        <f>Computations!BJ857</f>
        <v>0</v>
      </c>
      <c r="K7" s="42" t="e">
        <f t="shared" si="1"/>
        <v>#DIV/0!</v>
      </c>
      <c r="L7" s="42" t="e">
        <f t="shared" si="2"/>
        <v>#DIV/0!</v>
      </c>
    </row>
    <row r="8" spans="1:12" x14ac:dyDescent="0.2">
      <c r="A8">
        <v>0.1</v>
      </c>
      <c r="B8">
        <f t="shared" si="0"/>
        <v>498</v>
      </c>
      <c r="C8" s="44">
        <f>Computations!AQ504</f>
        <v>0</v>
      </c>
      <c r="D8" s="43" t="e">
        <f>Computations!AQ445</f>
        <v>#DIV/0!</v>
      </c>
      <c r="E8" s="42">
        <f>Computations!BJ386+Figures!BJ390</f>
        <v>0</v>
      </c>
      <c r="F8" s="42">
        <f>Computations!BJ563</f>
        <v>0</v>
      </c>
      <c r="G8" s="42">
        <f>Computations!BJ681</f>
        <v>0</v>
      </c>
      <c r="H8" s="43">
        <f>Computations!AQ740</f>
        <v>0</v>
      </c>
      <c r="I8" s="42">
        <f>Computations!BJ799</f>
        <v>0</v>
      </c>
      <c r="J8" s="42">
        <f>Computations!BJ858</f>
        <v>0</v>
      </c>
      <c r="K8" s="42" t="e">
        <f t="shared" si="1"/>
        <v>#DIV/0!</v>
      </c>
      <c r="L8" s="42" t="e">
        <f t="shared" si="2"/>
        <v>#DIV/0!</v>
      </c>
    </row>
    <row r="9" spans="1:12" x14ac:dyDescent="0.2">
      <c r="A9">
        <v>0.1</v>
      </c>
      <c r="B9">
        <f t="shared" si="0"/>
        <v>548</v>
      </c>
      <c r="C9" s="44">
        <f>Computations!AQ505</f>
        <v>0</v>
      </c>
      <c r="D9" s="43" t="e">
        <f>Computations!AQ446</f>
        <v>#DIV/0!</v>
      </c>
      <c r="E9" s="42">
        <f>Computations!BJ387+Figures!BJ391</f>
        <v>0</v>
      </c>
      <c r="F9" s="42">
        <f>Computations!BJ564</f>
        <v>0</v>
      </c>
      <c r="G9" s="42">
        <f>Computations!BJ682</f>
        <v>0</v>
      </c>
      <c r="H9" s="43">
        <f>Computations!AQ741</f>
        <v>0</v>
      </c>
      <c r="I9" s="42">
        <f>Computations!BJ800</f>
        <v>0</v>
      </c>
      <c r="J9" s="42">
        <f>Computations!BJ859</f>
        <v>0</v>
      </c>
      <c r="K9" s="42" t="e">
        <f t="shared" si="1"/>
        <v>#DIV/0!</v>
      </c>
      <c r="L9" s="42" t="e">
        <f t="shared" si="2"/>
        <v>#DIV/0!</v>
      </c>
    </row>
    <row r="10" spans="1:12" x14ac:dyDescent="0.2">
      <c r="A10">
        <v>0.1</v>
      </c>
      <c r="B10">
        <f t="shared" si="0"/>
        <v>598</v>
      </c>
      <c r="C10" s="44">
        <f>Computations!AQ506</f>
        <v>0</v>
      </c>
      <c r="D10" s="43" t="e">
        <f>Computations!AQ447</f>
        <v>#DIV/0!</v>
      </c>
      <c r="E10" s="42">
        <f>Computations!BJ388+Figures!BJ392</f>
        <v>0</v>
      </c>
      <c r="F10" s="42">
        <f>Computations!BJ565</f>
        <v>0</v>
      </c>
      <c r="G10" s="42">
        <f>Computations!BJ683</f>
        <v>0</v>
      </c>
      <c r="H10" s="43">
        <f>Computations!AQ742</f>
        <v>0</v>
      </c>
      <c r="I10" s="42">
        <f>Computations!BJ801</f>
        <v>0</v>
      </c>
      <c r="J10" s="42">
        <f>Computations!BJ860</f>
        <v>0</v>
      </c>
      <c r="K10" s="42" t="e">
        <f t="shared" si="1"/>
        <v>#DIV/0!</v>
      </c>
      <c r="L10" s="42" t="e">
        <f t="shared" si="2"/>
        <v>#DIV/0!</v>
      </c>
    </row>
    <row r="11" spans="1:12" x14ac:dyDescent="0.2">
      <c r="A11">
        <v>0.1</v>
      </c>
      <c r="B11">
        <f t="shared" si="0"/>
        <v>648</v>
      </c>
      <c r="C11" s="44">
        <f>Computations!AQ507</f>
        <v>0</v>
      </c>
      <c r="D11" s="43" t="e">
        <f>Computations!AQ448</f>
        <v>#DIV/0!</v>
      </c>
      <c r="E11" s="42">
        <f>Computations!BJ389+Figures!BJ393</f>
        <v>0</v>
      </c>
      <c r="F11" s="42">
        <f>Computations!BJ566</f>
        <v>0</v>
      </c>
      <c r="G11" s="42">
        <f>Computations!BJ684</f>
        <v>0</v>
      </c>
      <c r="H11" s="43">
        <f>Computations!AQ743</f>
        <v>0</v>
      </c>
      <c r="I11" s="42">
        <f>Computations!BJ802</f>
        <v>0</v>
      </c>
      <c r="J11" s="42">
        <f>Computations!BJ861</f>
        <v>0</v>
      </c>
      <c r="K11" s="42" t="e">
        <f t="shared" si="1"/>
        <v>#DIV/0!</v>
      </c>
      <c r="L11" s="42" t="e">
        <f t="shared" si="2"/>
        <v>#DIV/0!</v>
      </c>
    </row>
    <row r="12" spans="1:12" x14ac:dyDescent="0.2">
      <c r="A12">
        <v>0.1</v>
      </c>
      <c r="B12">
        <f t="shared" si="0"/>
        <v>698</v>
      </c>
      <c r="C12" s="44">
        <f>Computations!AQ508</f>
        <v>0</v>
      </c>
      <c r="D12" s="43" t="e">
        <f>Computations!AQ449</f>
        <v>#DIV/0!</v>
      </c>
      <c r="E12" s="42">
        <f>Computations!BJ390+Figures!BJ394</f>
        <v>0</v>
      </c>
      <c r="F12" s="42">
        <f>Computations!BJ567</f>
        <v>0</v>
      </c>
      <c r="G12" s="42">
        <f>Computations!BJ685</f>
        <v>0</v>
      </c>
      <c r="H12" s="43">
        <f>Computations!AQ744</f>
        <v>0</v>
      </c>
      <c r="I12" s="42">
        <f>Computations!BJ803</f>
        <v>0</v>
      </c>
      <c r="J12" s="42">
        <f>Computations!BJ862</f>
        <v>0</v>
      </c>
      <c r="K12" s="42" t="e">
        <f t="shared" si="1"/>
        <v>#DIV/0!</v>
      </c>
      <c r="L12" s="42" t="e">
        <f t="shared" si="2"/>
        <v>#DIV/0!</v>
      </c>
    </row>
    <row r="13" spans="1:12" x14ac:dyDescent="0.2">
      <c r="A13">
        <v>0.1</v>
      </c>
      <c r="B13">
        <f t="shared" si="0"/>
        <v>748</v>
      </c>
      <c r="C13" s="44">
        <f>Computations!AQ509</f>
        <v>0</v>
      </c>
      <c r="D13" s="43" t="e">
        <f>Computations!AQ450</f>
        <v>#DIV/0!</v>
      </c>
      <c r="E13" s="42">
        <f>Computations!BJ391+Figures!BJ395</f>
        <v>0</v>
      </c>
      <c r="F13" s="42">
        <f>Computations!BJ568</f>
        <v>0</v>
      </c>
      <c r="G13" s="42">
        <f>Computations!BJ686</f>
        <v>0</v>
      </c>
      <c r="H13" s="43">
        <f>Computations!AQ745</f>
        <v>0</v>
      </c>
      <c r="I13" s="42">
        <f>Computations!BJ804</f>
        <v>0</v>
      </c>
      <c r="J13" s="42">
        <f>Computations!BJ863</f>
        <v>0</v>
      </c>
      <c r="K13" s="42" t="e">
        <f t="shared" si="1"/>
        <v>#DIV/0!</v>
      </c>
      <c r="L13" s="42" t="e">
        <f t="shared" si="2"/>
        <v>#DIV/0!</v>
      </c>
    </row>
    <row r="14" spans="1:12" x14ac:dyDescent="0.2">
      <c r="A14">
        <v>0.1</v>
      </c>
      <c r="B14">
        <f t="shared" si="0"/>
        <v>798</v>
      </c>
      <c r="C14" s="44">
        <f>Computations!AQ510</f>
        <v>0</v>
      </c>
      <c r="D14" s="43" t="e">
        <f>Computations!AQ451</f>
        <v>#DIV/0!</v>
      </c>
      <c r="E14" s="42">
        <f>Computations!BJ392+Figures!BJ396</f>
        <v>0</v>
      </c>
      <c r="F14" s="42">
        <f>Computations!BJ569</f>
        <v>0</v>
      </c>
      <c r="G14" s="42">
        <f>Computations!BJ687</f>
        <v>0</v>
      </c>
      <c r="H14" s="43">
        <f>Computations!AQ746</f>
        <v>0</v>
      </c>
      <c r="I14" s="42">
        <f>Computations!BJ805</f>
        <v>0</v>
      </c>
      <c r="J14" s="42">
        <f>Computations!BJ864</f>
        <v>0</v>
      </c>
      <c r="K14" s="42" t="e">
        <f t="shared" si="1"/>
        <v>#DIV/0!</v>
      </c>
      <c r="L14" s="42" t="e">
        <f t="shared" si="2"/>
        <v>#DIV/0!</v>
      </c>
    </row>
    <row r="15" spans="1:12" x14ac:dyDescent="0.2">
      <c r="A15">
        <v>0.1</v>
      </c>
      <c r="B15">
        <f t="shared" si="0"/>
        <v>848</v>
      </c>
      <c r="C15" s="44">
        <f>Computations!AQ511</f>
        <v>0</v>
      </c>
      <c r="D15" s="43" t="e">
        <f>Computations!AQ452</f>
        <v>#DIV/0!</v>
      </c>
      <c r="E15" s="42">
        <f>Computations!BJ393+Figures!BJ397</f>
        <v>0</v>
      </c>
      <c r="F15" s="42">
        <f>Computations!BJ570</f>
        <v>0</v>
      </c>
      <c r="G15" s="42">
        <f>Computations!BJ688</f>
        <v>0</v>
      </c>
      <c r="H15" s="43">
        <f>Computations!AQ747</f>
        <v>0</v>
      </c>
      <c r="I15" s="42">
        <f>Computations!BJ806</f>
        <v>0</v>
      </c>
      <c r="J15" s="42">
        <f>Computations!BJ865</f>
        <v>0</v>
      </c>
      <c r="K15" s="42" t="e">
        <f t="shared" si="1"/>
        <v>#DIV/0!</v>
      </c>
      <c r="L15" s="42" t="e">
        <f t="shared" si="2"/>
        <v>#DIV/0!</v>
      </c>
    </row>
    <row r="16" spans="1:12" x14ac:dyDescent="0.2">
      <c r="A16">
        <v>0.1</v>
      </c>
      <c r="B16">
        <f t="shared" si="0"/>
        <v>898</v>
      </c>
      <c r="C16" s="44">
        <f>Computations!AQ512</f>
        <v>0</v>
      </c>
      <c r="D16" s="43" t="e">
        <f>Computations!AQ453</f>
        <v>#DIV/0!</v>
      </c>
      <c r="E16" s="42">
        <f>Computations!BJ394+Figures!BJ398</f>
        <v>0</v>
      </c>
      <c r="F16" s="42">
        <f>Computations!BJ571</f>
        <v>0</v>
      </c>
      <c r="G16" s="42">
        <f>Computations!BJ689</f>
        <v>0</v>
      </c>
      <c r="H16" s="43">
        <f>Computations!AQ748</f>
        <v>0</v>
      </c>
      <c r="I16" s="42">
        <f>Computations!BJ807</f>
        <v>0</v>
      </c>
      <c r="J16" s="42">
        <f>Computations!BJ866</f>
        <v>0</v>
      </c>
      <c r="K16" s="42" t="e">
        <f t="shared" si="1"/>
        <v>#DIV/0!</v>
      </c>
      <c r="L16" s="42" t="e">
        <f t="shared" si="2"/>
        <v>#DIV/0!</v>
      </c>
    </row>
    <row r="17" spans="1:12" x14ac:dyDescent="0.2">
      <c r="A17">
        <v>0.1</v>
      </c>
      <c r="B17">
        <f t="shared" si="0"/>
        <v>948</v>
      </c>
      <c r="C17" s="44">
        <f>Computations!AQ513</f>
        <v>0</v>
      </c>
      <c r="D17" s="43" t="e">
        <f>Computations!AQ454</f>
        <v>#DIV/0!</v>
      </c>
      <c r="E17" s="42">
        <f>Computations!BJ395+Figures!BJ399</f>
        <v>0</v>
      </c>
      <c r="F17" s="42">
        <f>Computations!BJ572</f>
        <v>0</v>
      </c>
      <c r="G17" s="42">
        <f>Computations!BJ690</f>
        <v>0</v>
      </c>
      <c r="H17" s="43">
        <f>Computations!AQ749</f>
        <v>0</v>
      </c>
      <c r="I17" s="42">
        <f>Computations!BJ808</f>
        <v>0</v>
      </c>
      <c r="J17" s="42">
        <f>Computations!BJ867</f>
        <v>0</v>
      </c>
      <c r="K17" s="42" t="e">
        <f t="shared" si="1"/>
        <v>#DIV/0!</v>
      </c>
      <c r="L17" s="42" t="e">
        <f t="shared" si="2"/>
        <v>#DIV/0!</v>
      </c>
    </row>
    <row r="18" spans="1:12" x14ac:dyDescent="0.2">
      <c r="A18">
        <v>570.1</v>
      </c>
      <c r="B18">
        <v>298</v>
      </c>
      <c r="C18" s="44">
        <f>Computations!AQ514</f>
        <v>0</v>
      </c>
      <c r="D18" s="43" t="e">
        <f>Computations!AQ455</f>
        <v>#DIV/0!</v>
      </c>
      <c r="E18" s="42">
        <f>Computations!BJ396+Figures!BJ400</f>
        <v>0</v>
      </c>
      <c r="F18" s="42">
        <f>Computations!BJ573</f>
        <v>0</v>
      </c>
      <c r="G18" s="42">
        <f>Computations!BJ691</f>
        <v>0</v>
      </c>
      <c r="H18" s="43">
        <f>Computations!AQ750</f>
        <v>0</v>
      </c>
      <c r="I18" s="42">
        <f>Computations!BJ809</f>
        <v>0</v>
      </c>
      <c r="J18" s="42">
        <f>Computations!BJ868</f>
        <v>0</v>
      </c>
      <c r="K18" s="42" t="e">
        <f t="shared" si="1"/>
        <v>#DIV/0!</v>
      </c>
      <c r="L18" s="42" t="e">
        <f t="shared" si="2"/>
        <v>#DIV/0!</v>
      </c>
    </row>
    <row r="19" spans="1:12" x14ac:dyDescent="0.2">
      <c r="A19">
        <v>570.1</v>
      </c>
      <c r="B19">
        <f t="shared" ref="B19:B59" si="3">B18+50</f>
        <v>348</v>
      </c>
      <c r="C19" s="44">
        <f>Computations!AQ515</f>
        <v>0</v>
      </c>
      <c r="D19" s="43" t="e">
        <f>Computations!AQ456</f>
        <v>#DIV/0!</v>
      </c>
      <c r="E19" s="42">
        <f>Computations!BJ397+Figures!BJ401</f>
        <v>0</v>
      </c>
      <c r="F19" s="42">
        <f>Computations!BJ574</f>
        <v>0</v>
      </c>
      <c r="G19" s="42">
        <f>Computations!BJ692</f>
        <v>0</v>
      </c>
      <c r="H19" s="43">
        <f>Computations!AQ751</f>
        <v>0</v>
      </c>
      <c r="I19" s="42">
        <f>Computations!BJ810</f>
        <v>0</v>
      </c>
      <c r="J19" s="42">
        <f>Computations!BJ869</f>
        <v>0</v>
      </c>
      <c r="K19" s="42" t="e">
        <f t="shared" si="1"/>
        <v>#DIV/0!</v>
      </c>
      <c r="L19" s="42" t="e">
        <f t="shared" si="2"/>
        <v>#DIV/0!</v>
      </c>
    </row>
    <row r="20" spans="1:12" x14ac:dyDescent="0.2">
      <c r="A20">
        <v>570.1</v>
      </c>
      <c r="B20">
        <f t="shared" si="3"/>
        <v>398</v>
      </c>
      <c r="C20" s="44">
        <f>Computations!AQ516</f>
        <v>0</v>
      </c>
      <c r="D20" s="43" t="e">
        <f>Computations!AQ457</f>
        <v>#DIV/0!</v>
      </c>
      <c r="E20" s="42">
        <f>Computations!BJ398+Figures!BJ402</f>
        <v>0</v>
      </c>
      <c r="F20" s="42">
        <f>Computations!BJ575</f>
        <v>0</v>
      </c>
      <c r="G20" s="42">
        <f>Computations!BJ693</f>
        <v>0</v>
      </c>
      <c r="H20" s="43">
        <f>Computations!AQ752</f>
        <v>0</v>
      </c>
      <c r="I20" s="42">
        <f>Computations!BJ811</f>
        <v>0</v>
      </c>
      <c r="J20" s="42">
        <f>Computations!BJ870</f>
        <v>0</v>
      </c>
      <c r="K20" s="42" t="e">
        <f t="shared" si="1"/>
        <v>#DIV/0!</v>
      </c>
      <c r="L20" s="42" t="e">
        <f t="shared" si="2"/>
        <v>#DIV/0!</v>
      </c>
    </row>
    <row r="21" spans="1:12" x14ac:dyDescent="0.2">
      <c r="A21">
        <v>570.1</v>
      </c>
      <c r="B21">
        <f t="shared" si="3"/>
        <v>448</v>
      </c>
      <c r="C21" s="44">
        <f>Computations!AQ517</f>
        <v>0</v>
      </c>
      <c r="D21" s="43" t="e">
        <f>Computations!AQ458</f>
        <v>#DIV/0!</v>
      </c>
      <c r="E21" s="42">
        <f>Computations!BJ399+Figures!BJ403</f>
        <v>0</v>
      </c>
      <c r="F21" s="42">
        <f>Computations!BJ576</f>
        <v>0</v>
      </c>
      <c r="G21" s="42">
        <f>Computations!BJ694</f>
        <v>0</v>
      </c>
      <c r="H21" s="43">
        <f>Computations!AQ753</f>
        <v>0</v>
      </c>
      <c r="I21" s="42">
        <f>Computations!BJ812</f>
        <v>0</v>
      </c>
      <c r="J21" s="42">
        <f>Computations!BJ871</f>
        <v>0</v>
      </c>
      <c r="K21" s="42" t="e">
        <f t="shared" si="1"/>
        <v>#DIV/0!</v>
      </c>
      <c r="L21" s="42" t="e">
        <f t="shared" si="2"/>
        <v>#DIV/0!</v>
      </c>
    </row>
    <row r="22" spans="1:12" x14ac:dyDescent="0.2">
      <c r="A22">
        <v>570.1</v>
      </c>
      <c r="B22">
        <f t="shared" si="3"/>
        <v>498</v>
      </c>
      <c r="C22" s="44">
        <f>Computations!AQ518</f>
        <v>0</v>
      </c>
      <c r="D22" s="43" t="e">
        <f>Computations!AQ459</f>
        <v>#DIV/0!</v>
      </c>
      <c r="E22" s="42">
        <f>Computations!BJ400+Figures!BJ404</f>
        <v>0</v>
      </c>
      <c r="F22" s="42">
        <f>Computations!BJ577</f>
        <v>0</v>
      </c>
      <c r="G22" s="42">
        <f>Computations!BJ695</f>
        <v>0</v>
      </c>
      <c r="H22" s="43">
        <f>Computations!AQ754</f>
        <v>0</v>
      </c>
      <c r="I22" s="42">
        <f>Computations!BJ813</f>
        <v>0</v>
      </c>
      <c r="J22" s="42">
        <f>Computations!BJ872</f>
        <v>0</v>
      </c>
      <c r="K22" s="42" t="e">
        <f t="shared" si="1"/>
        <v>#DIV/0!</v>
      </c>
      <c r="L22" s="42" t="e">
        <f t="shared" si="2"/>
        <v>#DIV/0!</v>
      </c>
    </row>
    <row r="23" spans="1:12" x14ac:dyDescent="0.2">
      <c r="A23">
        <v>570.1</v>
      </c>
      <c r="B23">
        <f t="shared" si="3"/>
        <v>548</v>
      </c>
      <c r="C23" s="44">
        <f>Computations!AQ519</f>
        <v>0</v>
      </c>
      <c r="D23" s="43" t="e">
        <f>Computations!AQ460</f>
        <v>#DIV/0!</v>
      </c>
      <c r="E23" s="42">
        <f>Computations!BJ401+Figures!BJ405</f>
        <v>0</v>
      </c>
      <c r="F23" s="42">
        <f>Computations!BJ578</f>
        <v>0</v>
      </c>
      <c r="G23" s="42">
        <f>Computations!BJ696</f>
        <v>0</v>
      </c>
      <c r="H23" s="43">
        <f>Computations!AQ755</f>
        <v>0</v>
      </c>
      <c r="I23" s="42">
        <f>Computations!BJ814</f>
        <v>0</v>
      </c>
      <c r="J23" s="42">
        <f>Computations!BJ873</f>
        <v>0</v>
      </c>
      <c r="K23" s="42" t="e">
        <f t="shared" si="1"/>
        <v>#DIV/0!</v>
      </c>
      <c r="L23" s="42" t="e">
        <f t="shared" si="2"/>
        <v>#DIV/0!</v>
      </c>
    </row>
    <row r="24" spans="1:12" x14ac:dyDescent="0.2">
      <c r="A24">
        <v>570.1</v>
      </c>
      <c r="B24">
        <f t="shared" si="3"/>
        <v>598</v>
      </c>
      <c r="C24" s="44">
        <f>Computations!AQ520</f>
        <v>0</v>
      </c>
      <c r="D24" s="43" t="e">
        <f>Computations!AQ461</f>
        <v>#DIV/0!</v>
      </c>
      <c r="E24" s="42">
        <f>Computations!BJ402+Figures!BJ406</f>
        <v>0</v>
      </c>
      <c r="F24" s="42">
        <f>Computations!BJ579</f>
        <v>0</v>
      </c>
      <c r="G24" s="42">
        <f>Computations!BJ697</f>
        <v>0</v>
      </c>
      <c r="H24" s="43">
        <f>Computations!AQ756</f>
        <v>0</v>
      </c>
      <c r="I24" s="42">
        <f>Computations!BJ815</f>
        <v>0</v>
      </c>
      <c r="J24" s="42">
        <f>Computations!BJ874</f>
        <v>0</v>
      </c>
      <c r="K24" s="42" t="e">
        <f t="shared" si="1"/>
        <v>#DIV/0!</v>
      </c>
      <c r="L24" s="42" t="e">
        <f t="shared" si="2"/>
        <v>#DIV/0!</v>
      </c>
    </row>
    <row r="25" spans="1:12" x14ac:dyDescent="0.2">
      <c r="A25">
        <v>570.1</v>
      </c>
      <c r="B25">
        <f t="shared" si="3"/>
        <v>648</v>
      </c>
      <c r="C25" s="44">
        <f>Computations!AQ521</f>
        <v>0</v>
      </c>
      <c r="D25" s="43" t="e">
        <f>Computations!AQ462</f>
        <v>#DIV/0!</v>
      </c>
      <c r="E25" s="42">
        <f>Computations!BJ403+Figures!BJ407</f>
        <v>0</v>
      </c>
      <c r="F25" s="42">
        <f>Computations!BJ580</f>
        <v>0</v>
      </c>
      <c r="G25" s="42">
        <f>Computations!BJ698</f>
        <v>0</v>
      </c>
      <c r="H25" s="43">
        <f>Computations!AQ757</f>
        <v>0</v>
      </c>
      <c r="I25" s="42">
        <f>Computations!BJ816</f>
        <v>0</v>
      </c>
      <c r="J25" s="42">
        <f>Computations!BJ875</f>
        <v>0</v>
      </c>
      <c r="K25" s="42" t="e">
        <f t="shared" si="1"/>
        <v>#DIV/0!</v>
      </c>
      <c r="L25" s="42" t="e">
        <f t="shared" si="2"/>
        <v>#DIV/0!</v>
      </c>
    </row>
    <row r="26" spans="1:12" x14ac:dyDescent="0.2">
      <c r="A26">
        <v>570.1</v>
      </c>
      <c r="B26">
        <f t="shared" si="3"/>
        <v>698</v>
      </c>
      <c r="C26" s="44">
        <f>Computations!AQ522</f>
        <v>0</v>
      </c>
      <c r="D26" s="43" t="e">
        <f>Computations!AQ463</f>
        <v>#DIV/0!</v>
      </c>
      <c r="E26" s="42">
        <f>Computations!BJ404+Figures!BJ408</f>
        <v>0</v>
      </c>
      <c r="F26" s="42">
        <f>Computations!BJ581</f>
        <v>0</v>
      </c>
      <c r="G26" s="42">
        <f>Computations!BJ699</f>
        <v>0</v>
      </c>
      <c r="H26" s="43">
        <f>Computations!AQ758</f>
        <v>0</v>
      </c>
      <c r="I26" s="42">
        <f>Computations!BJ817</f>
        <v>0</v>
      </c>
      <c r="J26" s="42">
        <f>Computations!BJ876</f>
        <v>0</v>
      </c>
      <c r="K26" s="42" t="e">
        <f t="shared" si="1"/>
        <v>#DIV/0!</v>
      </c>
      <c r="L26" s="42" t="e">
        <f t="shared" si="2"/>
        <v>#DIV/0!</v>
      </c>
    </row>
    <row r="27" spans="1:12" x14ac:dyDescent="0.2">
      <c r="A27">
        <v>570.1</v>
      </c>
      <c r="B27">
        <f t="shared" si="3"/>
        <v>748</v>
      </c>
      <c r="C27" s="44">
        <f>Computations!AQ523</f>
        <v>0</v>
      </c>
      <c r="D27" s="43" t="e">
        <f>Computations!AQ464</f>
        <v>#DIV/0!</v>
      </c>
      <c r="E27" s="42">
        <f>Computations!BJ405+Figures!BJ409</f>
        <v>0</v>
      </c>
      <c r="F27" s="42">
        <f>Computations!BJ582</f>
        <v>0</v>
      </c>
      <c r="G27" s="42">
        <f>Computations!BJ700</f>
        <v>0</v>
      </c>
      <c r="H27" s="43">
        <f>Computations!AQ759</f>
        <v>0</v>
      </c>
      <c r="I27" s="42">
        <f>Computations!BJ818</f>
        <v>0</v>
      </c>
      <c r="J27" s="42">
        <f>Computations!BJ877</f>
        <v>0</v>
      </c>
      <c r="K27" s="42" t="e">
        <f t="shared" si="1"/>
        <v>#DIV/0!</v>
      </c>
      <c r="L27" s="42" t="e">
        <f t="shared" si="2"/>
        <v>#DIV/0!</v>
      </c>
    </row>
    <row r="28" spans="1:12" x14ac:dyDescent="0.2">
      <c r="A28">
        <v>570.1</v>
      </c>
      <c r="B28">
        <f t="shared" si="3"/>
        <v>798</v>
      </c>
      <c r="C28" s="44">
        <f>Computations!AQ524</f>
        <v>0</v>
      </c>
      <c r="D28" s="43" t="e">
        <f>Computations!AQ465</f>
        <v>#DIV/0!</v>
      </c>
      <c r="E28" s="42">
        <f>Computations!BJ406+Figures!BJ410</f>
        <v>0</v>
      </c>
      <c r="F28" s="42">
        <f>Computations!BJ583</f>
        <v>0</v>
      </c>
      <c r="G28" s="42">
        <f>Computations!BJ701</f>
        <v>0</v>
      </c>
      <c r="H28" s="43">
        <f>Computations!AQ760</f>
        <v>0</v>
      </c>
      <c r="I28" s="42">
        <f>Computations!BJ819</f>
        <v>0</v>
      </c>
      <c r="J28" s="42">
        <f>Computations!BJ878</f>
        <v>0</v>
      </c>
      <c r="K28" s="42" t="e">
        <f t="shared" si="1"/>
        <v>#DIV/0!</v>
      </c>
      <c r="L28" s="42" t="e">
        <f t="shared" si="2"/>
        <v>#DIV/0!</v>
      </c>
    </row>
    <row r="29" spans="1:12" x14ac:dyDescent="0.2">
      <c r="A29">
        <v>570.1</v>
      </c>
      <c r="B29">
        <f t="shared" si="3"/>
        <v>848</v>
      </c>
      <c r="C29" s="44">
        <f>Computations!AQ525</f>
        <v>0</v>
      </c>
      <c r="D29" s="43" t="e">
        <f>Computations!AQ466</f>
        <v>#DIV/0!</v>
      </c>
      <c r="E29" s="42">
        <f>Computations!BJ407+Figures!BJ411</f>
        <v>0</v>
      </c>
      <c r="F29" s="42">
        <f>Computations!BJ584</f>
        <v>0</v>
      </c>
      <c r="G29" s="42">
        <f>Computations!BJ702</f>
        <v>0</v>
      </c>
      <c r="H29" s="43">
        <f>Computations!AQ761</f>
        <v>0</v>
      </c>
      <c r="I29" s="42">
        <f>Computations!BJ820</f>
        <v>0</v>
      </c>
      <c r="J29" s="42">
        <f>Computations!BJ879</f>
        <v>0</v>
      </c>
      <c r="K29" s="42" t="e">
        <f t="shared" si="1"/>
        <v>#DIV/0!</v>
      </c>
      <c r="L29" s="42" t="e">
        <f t="shared" si="2"/>
        <v>#DIV/0!</v>
      </c>
    </row>
    <row r="30" spans="1:12" x14ac:dyDescent="0.2">
      <c r="A30">
        <v>570.1</v>
      </c>
      <c r="B30">
        <f t="shared" si="3"/>
        <v>898</v>
      </c>
      <c r="C30" s="44">
        <f>Computations!AQ526</f>
        <v>0</v>
      </c>
      <c r="D30" s="43" t="e">
        <f>Computations!AQ467</f>
        <v>#DIV/0!</v>
      </c>
      <c r="E30" s="42">
        <f>Computations!BJ408+Figures!BJ412</f>
        <v>0</v>
      </c>
      <c r="F30" s="42">
        <f>Computations!BJ585</f>
        <v>0</v>
      </c>
      <c r="G30" s="42">
        <f>Computations!BJ703</f>
        <v>0</v>
      </c>
      <c r="H30" s="43">
        <f>Computations!AQ762</f>
        <v>0</v>
      </c>
      <c r="I30" s="42">
        <f>Computations!BJ821</f>
        <v>0</v>
      </c>
      <c r="J30" s="42">
        <f>Computations!BJ880</f>
        <v>0</v>
      </c>
      <c r="K30" s="42" t="e">
        <f t="shared" si="1"/>
        <v>#DIV/0!</v>
      </c>
      <c r="L30" s="42" t="e">
        <f t="shared" si="2"/>
        <v>#DIV/0!</v>
      </c>
    </row>
    <row r="31" spans="1:12" x14ac:dyDescent="0.2">
      <c r="A31">
        <v>570.1</v>
      </c>
      <c r="B31">
        <f t="shared" si="3"/>
        <v>948</v>
      </c>
      <c r="C31" s="44">
        <f>Computations!AQ527</f>
        <v>0</v>
      </c>
      <c r="D31" s="43" t="e">
        <f>Computations!AQ468</f>
        <v>#DIV/0!</v>
      </c>
      <c r="E31" s="42">
        <f>Computations!BJ409+Figures!BJ413</f>
        <v>0</v>
      </c>
      <c r="F31" s="42">
        <f>Computations!BJ586</f>
        <v>0</v>
      </c>
      <c r="G31" s="42">
        <f>Computations!BJ704</f>
        <v>0</v>
      </c>
      <c r="H31" s="43">
        <f>Computations!AQ763</f>
        <v>0</v>
      </c>
      <c r="I31" s="42">
        <f>Computations!BJ822</f>
        <v>0</v>
      </c>
      <c r="J31" s="42">
        <f>Computations!BJ881</f>
        <v>0</v>
      </c>
      <c r="K31" s="42" t="e">
        <f t="shared" si="1"/>
        <v>#DIV/0!</v>
      </c>
      <c r="L31" s="42" t="e">
        <f t="shared" si="2"/>
        <v>#DIV/0!</v>
      </c>
    </row>
    <row r="32" spans="1:12" x14ac:dyDescent="0.2">
      <c r="A32">
        <v>1140.0999999999999</v>
      </c>
      <c r="B32">
        <v>298</v>
      </c>
      <c r="C32" s="44">
        <f>Computations!AQ528</f>
        <v>0</v>
      </c>
      <c r="D32" s="43" t="e">
        <f>Computations!AQ469</f>
        <v>#DIV/0!</v>
      </c>
      <c r="E32" s="42">
        <f>Computations!BJ410+Figures!BJ414</f>
        <v>0</v>
      </c>
      <c r="F32" s="42">
        <f>Computations!BJ587</f>
        <v>0</v>
      </c>
      <c r="G32" s="42">
        <f>Computations!BJ705</f>
        <v>0</v>
      </c>
      <c r="H32" s="43">
        <f>Computations!AQ764</f>
        <v>0</v>
      </c>
      <c r="I32" s="42">
        <f>Computations!BJ823</f>
        <v>0</v>
      </c>
      <c r="J32" s="42">
        <f>Computations!BJ882</f>
        <v>0</v>
      </c>
      <c r="K32" s="42" t="e">
        <f t="shared" si="1"/>
        <v>#DIV/0!</v>
      </c>
      <c r="L32" s="42" t="e">
        <f t="shared" si="2"/>
        <v>#DIV/0!</v>
      </c>
    </row>
    <row r="33" spans="1:12" x14ac:dyDescent="0.2">
      <c r="A33">
        <v>1140.0999999999999</v>
      </c>
      <c r="B33">
        <f t="shared" si="3"/>
        <v>348</v>
      </c>
      <c r="C33" s="44">
        <f>Computations!AQ529</f>
        <v>0</v>
      </c>
      <c r="D33" s="43" t="e">
        <f>Computations!AQ470</f>
        <v>#DIV/0!</v>
      </c>
      <c r="E33" s="42">
        <f>Computations!BJ411+Figures!BJ415</f>
        <v>0</v>
      </c>
      <c r="F33" s="42">
        <f>Computations!BJ588</f>
        <v>0</v>
      </c>
      <c r="G33" s="42">
        <f>Computations!BJ706</f>
        <v>0</v>
      </c>
      <c r="H33" s="43">
        <f>Computations!AQ765</f>
        <v>0</v>
      </c>
      <c r="I33" s="42">
        <f>Computations!BJ824</f>
        <v>0</v>
      </c>
      <c r="J33" s="42">
        <f>Computations!BJ883</f>
        <v>0</v>
      </c>
      <c r="K33" s="42" t="e">
        <f t="shared" si="1"/>
        <v>#DIV/0!</v>
      </c>
      <c r="L33" s="42" t="e">
        <f t="shared" si="2"/>
        <v>#DIV/0!</v>
      </c>
    </row>
    <row r="34" spans="1:12" x14ac:dyDescent="0.2">
      <c r="A34">
        <v>1140.0999999999999</v>
      </c>
      <c r="B34">
        <f t="shared" si="3"/>
        <v>398</v>
      </c>
      <c r="C34" s="44">
        <f>Computations!AQ530</f>
        <v>0</v>
      </c>
      <c r="D34" s="43" t="e">
        <f>Computations!AQ471</f>
        <v>#DIV/0!</v>
      </c>
      <c r="E34" s="42">
        <f>Computations!BJ412+Figures!BJ416</f>
        <v>0</v>
      </c>
      <c r="F34" s="42">
        <f>Computations!BJ589</f>
        <v>0</v>
      </c>
      <c r="G34" s="42">
        <f>Computations!BJ707</f>
        <v>0</v>
      </c>
      <c r="H34" s="43">
        <f>Computations!AQ766</f>
        <v>0</v>
      </c>
      <c r="I34" s="42">
        <f>Computations!BJ825</f>
        <v>0</v>
      </c>
      <c r="J34" s="42">
        <f>Computations!BJ884</f>
        <v>0</v>
      </c>
      <c r="K34" s="42" t="e">
        <f t="shared" si="1"/>
        <v>#DIV/0!</v>
      </c>
      <c r="L34" s="42" t="e">
        <f t="shared" si="2"/>
        <v>#DIV/0!</v>
      </c>
    </row>
    <row r="35" spans="1:12" x14ac:dyDescent="0.2">
      <c r="A35">
        <v>1140.0999999999999</v>
      </c>
      <c r="B35">
        <f t="shared" si="3"/>
        <v>448</v>
      </c>
      <c r="C35" s="44">
        <f>Computations!AQ531</f>
        <v>0</v>
      </c>
      <c r="D35" s="43" t="e">
        <f>Computations!AQ472</f>
        <v>#DIV/0!</v>
      </c>
      <c r="E35" s="42">
        <f>Computations!BJ413+Figures!BJ417</f>
        <v>0</v>
      </c>
      <c r="F35" s="42">
        <f>Computations!BJ590</f>
        <v>0</v>
      </c>
      <c r="G35" s="42">
        <f>Computations!BJ708</f>
        <v>0</v>
      </c>
      <c r="H35" s="43">
        <f>Computations!AQ767</f>
        <v>0</v>
      </c>
      <c r="I35" s="42">
        <f>Computations!BJ826</f>
        <v>0</v>
      </c>
      <c r="J35" s="42">
        <f>Computations!BJ885</f>
        <v>0</v>
      </c>
      <c r="K35" s="42" t="e">
        <f t="shared" si="1"/>
        <v>#DIV/0!</v>
      </c>
      <c r="L35" s="42" t="e">
        <f t="shared" si="2"/>
        <v>#DIV/0!</v>
      </c>
    </row>
    <row r="36" spans="1:12" x14ac:dyDescent="0.2">
      <c r="A36">
        <v>1140.0999999999999</v>
      </c>
      <c r="B36">
        <f t="shared" si="3"/>
        <v>498</v>
      </c>
      <c r="C36" s="44">
        <f>Computations!AQ532</f>
        <v>0</v>
      </c>
      <c r="D36" s="43" t="e">
        <f>Computations!AQ473</f>
        <v>#DIV/0!</v>
      </c>
      <c r="E36" s="42">
        <f>Computations!BJ414+Figures!BJ418</f>
        <v>0</v>
      </c>
      <c r="F36" s="42">
        <f>Computations!BJ591</f>
        <v>0</v>
      </c>
      <c r="G36" s="42">
        <f>Computations!BJ709</f>
        <v>0</v>
      </c>
      <c r="H36" s="43">
        <f>Computations!AQ768</f>
        <v>0</v>
      </c>
      <c r="I36" s="42">
        <f>Computations!BJ827</f>
        <v>0</v>
      </c>
      <c r="J36" s="42">
        <f>Computations!BJ886</f>
        <v>0</v>
      </c>
      <c r="K36" s="42" t="e">
        <f t="shared" si="1"/>
        <v>#DIV/0!</v>
      </c>
      <c r="L36" s="42" t="e">
        <f t="shared" si="2"/>
        <v>#DIV/0!</v>
      </c>
    </row>
    <row r="37" spans="1:12" x14ac:dyDescent="0.2">
      <c r="A37">
        <v>1140.0999999999999</v>
      </c>
      <c r="B37">
        <f t="shared" si="3"/>
        <v>548</v>
      </c>
      <c r="C37" s="44">
        <f>Computations!AQ533</f>
        <v>0</v>
      </c>
      <c r="D37" s="43" t="e">
        <f>Computations!AQ474</f>
        <v>#DIV/0!</v>
      </c>
      <c r="E37" s="42">
        <f>Computations!BJ415+Figures!BJ419</f>
        <v>0</v>
      </c>
      <c r="F37" s="42">
        <f>Computations!BJ592</f>
        <v>0</v>
      </c>
      <c r="G37" s="42">
        <f>Computations!BJ710</f>
        <v>0</v>
      </c>
      <c r="H37" s="43">
        <f>Computations!AQ769</f>
        <v>0</v>
      </c>
      <c r="I37" s="42">
        <f>Computations!BJ828</f>
        <v>0</v>
      </c>
      <c r="J37" s="42">
        <f>Computations!BJ887</f>
        <v>0</v>
      </c>
      <c r="K37" s="42" t="e">
        <f t="shared" si="1"/>
        <v>#DIV/0!</v>
      </c>
      <c r="L37" s="42" t="e">
        <f t="shared" si="2"/>
        <v>#DIV/0!</v>
      </c>
    </row>
    <row r="38" spans="1:12" x14ac:dyDescent="0.2">
      <c r="A38">
        <v>1140.0999999999999</v>
      </c>
      <c r="B38">
        <f t="shared" si="3"/>
        <v>598</v>
      </c>
      <c r="C38" s="44">
        <f>Computations!AQ534</f>
        <v>0</v>
      </c>
      <c r="D38" s="43" t="e">
        <f>Computations!AQ475</f>
        <v>#DIV/0!</v>
      </c>
      <c r="E38" s="42">
        <f>Computations!BJ416+Figures!BJ420</f>
        <v>0</v>
      </c>
      <c r="F38" s="42">
        <f>Computations!BJ593</f>
        <v>0</v>
      </c>
      <c r="G38" s="42">
        <f>Computations!BJ711</f>
        <v>0</v>
      </c>
      <c r="H38" s="43">
        <f>Computations!AQ770</f>
        <v>0</v>
      </c>
      <c r="I38" s="42">
        <f>Computations!BJ829</f>
        <v>0</v>
      </c>
      <c r="J38" s="42">
        <f>Computations!BJ888</f>
        <v>0</v>
      </c>
      <c r="K38" s="42" t="e">
        <f t="shared" si="1"/>
        <v>#DIV/0!</v>
      </c>
      <c r="L38" s="42" t="e">
        <f t="shared" si="2"/>
        <v>#DIV/0!</v>
      </c>
    </row>
    <row r="39" spans="1:12" x14ac:dyDescent="0.2">
      <c r="A39">
        <v>1140.0999999999999</v>
      </c>
      <c r="B39">
        <f t="shared" si="3"/>
        <v>648</v>
      </c>
      <c r="C39" s="44">
        <f>Computations!AQ535</f>
        <v>0</v>
      </c>
      <c r="D39" s="43" t="e">
        <f>Computations!AQ476</f>
        <v>#DIV/0!</v>
      </c>
      <c r="E39" s="42">
        <f>Computations!BJ417+Figures!BJ421</f>
        <v>0</v>
      </c>
      <c r="F39" s="42">
        <f>Computations!BJ594</f>
        <v>0</v>
      </c>
      <c r="G39" s="42">
        <f>Computations!BJ712</f>
        <v>0</v>
      </c>
      <c r="H39" s="43">
        <f>Computations!AQ771</f>
        <v>0</v>
      </c>
      <c r="I39" s="42">
        <f>Computations!BJ830</f>
        <v>0</v>
      </c>
      <c r="J39" s="42">
        <f>Computations!BJ889</f>
        <v>0</v>
      </c>
      <c r="K39" s="42" t="e">
        <f t="shared" si="1"/>
        <v>#DIV/0!</v>
      </c>
      <c r="L39" s="42" t="e">
        <f t="shared" si="2"/>
        <v>#DIV/0!</v>
      </c>
    </row>
    <row r="40" spans="1:12" x14ac:dyDescent="0.2">
      <c r="A40">
        <v>1140.0999999999999</v>
      </c>
      <c r="B40">
        <f t="shared" si="3"/>
        <v>698</v>
      </c>
      <c r="C40" s="44">
        <f>Computations!AQ536</f>
        <v>0</v>
      </c>
      <c r="D40" s="43" t="e">
        <f>Computations!AQ477</f>
        <v>#DIV/0!</v>
      </c>
      <c r="E40" s="42">
        <f>Computations!BJ418+Figures!BJ422</f>
        <v>0</v>
      </c>
      <c r="F40" s="42">
        <f>Computations!BJ595</f>
        <v>0</v>
      </c>
      <c r="G40" s="42">
        <f>Computations!BJ713</f>
        <v>0</v>
      </c>
      <c r="H40" s="43">
        <f>Computations!AQ772</f>
        <v>0</v>
      </c>
      <c r="I40" s="42">
        <f>Computations!BJ831</f>
        <v>0</v>
      </c>
      <c r="J40" s="42">
        <f>Computations!BJ890</f>
        <v>0</v>
      </c>
      <c r="K40" s="42" t="e">
        <f t="shared" si="1"/>
        <v>#DIV/0!</v>
      </c>
      <c r="L40" s="42" t="e">
        <f t="shared" si="2"/>
        <v>#DIV/0!</v>
      </c>
    </row>
    <row r="41" spans="1:12" x14ac:dyDescent="0.2">
      <c r="A41">
        <v>1140.0999999999999</v>
      </c>
      <c r="B41">
        <f t="shared" si="3"/>
        <v>748</v>
      </c>
      <c r="C41" s="44">
        <f>Computations!AQ537</f>
        <v>0</v>
      </c>
      <c r="D41" s="43" t="e">
        <f>Computations!AQ478</f>
        <v>#DIV/0!</v>
      </c>
      <c r="E41" s="42">
        <f>Computations!BJ419+Figures!BJ423</f>
        <v>0</v>
      </c>
      <c r="F41" s="42">
        <f>Computations!BJ596</f>
        <v>0</v>
      </c>
      <c r="G41" s="42">
        <f>Computations!BJ714</f>
        <v>0</v>
      </c>
      <c r="H41" s="43">
        <f>Computations!AQ773</f>
        <v>0</v>
      </c>
      <c r="I41" s="42">
        <f>Computations!BJ832</f>
        <v>0</v>
      </c>
      <c r="J41" s="42">
        <f>Computations!BJ891</f>
        <v>0</v>
      </c>
      <c r="K41" s="42" t="e">
        <f t="shared" si="1"/>
        <v>#DIV/0!</v>
      </c>
      <c r="L41" s="42" t="e">
        <f t="shared" si="2"/>
        <v>#DIV/0!</v>
      </c>
    </row>
    <row r="42" spans="1:12" x14ac:dyDescent="0.2">
      <c r="A42">
        <v>1140.0999999999999</v>
      </c>
      <c r="B42">
        <f t="shared" si="3"/>
        <v>798</v>
      </c>
      <c r="C42" s="44">
        <f>Computations!AQ538</f>
        <v>0</v>
      </c>
      <c r="D42" s="43" t="e">
        <f>Computations!AQ479</f>
        <v>#DIV/0!</v>
      </c>
      <c r="E42" s="42">
        <f>Computations!BJ420+Figures!BJ424</f>
        <v>0</v>
      </c>
      <c r="F42" s="42">
        <f>Computations!BJ597</f>
        <v>0</v>
      </c>
      <c r="G42" s="42">
        <f>Computations!BJ715</f>
        <v>0</v>
      </c>
      <c r="H42" s="43">
        <f>Computations!AQ774</f>
        <v>0</v>
      </c>
      <c r="I42" s="42">
        <f>Computations!BJ833</f>
        <v>0</v>
      </c>
      <c r="J42" s="42">
        <f>Computations!BJ892</f>
        <v>0</v>
      </c>
      <c r="K42" s="42" t="e">
        <f t="shared" si="1"/>
        <v>#DIV/0!</v>
      </c>
      <c r="L42" s="42" t="e">
        <f t="shared" si="2"/>
        <v>#DIV/0!</v>
      </c>
    </row>
    <row r="43" spans="1:12" x14ac:dyDescent="0.2">
      <c r="A43">
        <v>1140.0999999999999</v>
      </c>
      <c r="B43">
        <f t="shared" si="3"/>
        <v>848</v>
      </c>
      <c r="C43" s="44">
        <f>Computations!AQ539</f>
        <v>0</v>
      </c>
      <c r="D43" s="43" t="e">
        <f>Computations!AQ480</f>
        <v>#DIV/0!</v>
      </c>
      <c r="E43" s="42">
        <f>Computations!BJ421+Figures!BJ425</f>
        <v>0</v>
      </c>
      <c r="F43" s="42">
        <f>Computations!BJ598</f>
        <v>0</v>
      </c>
      <c r="G43" s="42">
        <f>Computations!BJ716</f>
        <v>0</v>
      </c>
      <c r="H43" s="43">
        <f>Computations!AQ775</f>
        <v>0</v>
      </c>
      <c r="I43" s="42">
        <f>Computations!BJ834</f>
        <v>0</v>
      </c>
      <c r="J43" s="42">
        <f>Computations!BJ893</f>
        <v>0</v>
      </c>
      <c r="K43" s="42" t="e">
        <f t="shared" si="1"/>
        <v>#DIV/0!</v>
      </c>
      <c r="L43" s="42" t="e">
        <f t="shared" si="2"/>
        <v>#DIV/0!</v>
      </c>
    </row>
    <row r="44" spans="1:12" x14ac:dyDescent="0.2">
      <c r="A44">
        <v>1140.0999999999999</v>
      </c>
      <c r="B44">
        <f t="shared" si="3"/>
        <v>898</v>
      </c>
      <c r="C44" s="44">
        <f>Computations!AQ540</f>
        <v>0</v>
      </c>
      <c r="D44" s="43" t="e">
        <f>Computations!AQ481</f>
        <v>#DIV/0!</v>
      </c>
      <c r="E44" s="42">
        <f>Computations!BJ422+Figures!BJ426</f>
        <v>0</v>
      </c>
      <c r="F44" s="42">
        <f>Computations!BJ599</f>
        <v>0</v>
      </c>
      <c r="G44" s="42">
        <f>Computations!BJ717</f>
        <v>0</v>
      </c>
      <c r="H44" s="43">
        <f>Computations!AQ776</f>
        <v>0</v>
      </c>
      <c r="I44" s="42">
        <f>Computations!BJ835</f>
        <v>0</v>
      </c>
      <c r="J44" s="42">
        <f>Computations!BJ894</f>
        <v>0</v>
      </c>
      <c r="K44" s="42" t="e">
        <f t="shared" si="1"/>
        <v>#DIV/0!</v>
      </c>
      <c r="L44" s="42" t="e">
        <f t="shared" si="2"/>
        <v>#DIV/0!</v>
      </c>
    </row>
    <row r="45" spans="1:12" x14ac:dyDescent="0.2">
      <c r="A45">
        <v>1140.0999999999999</v>
      </c>
      <c r="B45">
        <f t="shared" si="3"/>
        <v>948</v>
      </c>
      <c r="C45" s="44">
        <f>Computations!AQ541</f>
        <v>0</v>
      </c>
      <c r="D45" s="43" t="e">
        <f>Computations!AQ482</f>
        <v>#DIV/0!</v>
      </c>
      <c r="E45" s="42">
        <f>Computations!BJ423+Figures!BJ427</f>
        <v>0</v>
      </c>
      <c r="F45" s="42">
        <f>Computations!BJ600</f>
        <v>0</v>
      </c>
      <c r="G45" s="42">
        <f>Computations!BJ718</f>
        <v>0</v>
      </c>
      <c r="H45" s="43">
        <f>Computations!AQ777</f>
        <v>0</v>
      </c>
      <c r="I45" s="42">
        <f>Computations!BJ836</f>
        <v>0</v>
      </c>
      <c r="J45" s="42">
        <f>Computations!BJ895</f>
        <v>0</v>
      </c>
      <c r="K45" s="42" t="e">
        <f t="shared" si="1"/>
        <v>#DIV/0!</v>
      </c>
      <c r="L45" s="42" t="e">
        <f t="shared" si="2"/>
        <v>#DIV/0!</v>
      </c>
    </row>
    <row r="46" spans="1:12" x14ac:dyDescent="0.2">
      <c r="A46">
        <v>1711.1</v>
      </c>
      <c r="B46">
        <v>298</v>
      </c>
      <c r="C46" s="44">
        <f>Computations!AQ542</f>
        <v>0</v>
      </c>
      <c r="D46" s="43" t="e">
        <f>Computations!AQ483</f>
        <v>#DIV/0!</v>
      </c>
      <c r="E46" s="42">
        <f>Computations!BJ424+Figures!BJ428</f>
        <v>0</v>
      </c>
      <c r="F46" s="42">
        <f>Computations!BJ601</f>
        <v>0</v>
      </c>
      <c r="G46" s="42">
        <f>Computations!BJ719</f>
        <v>0</v>
      </c>
      <c r="H46" s="43">
        <f>Computations!AQ778</f>
        <v>0</v>
      </c>
      <c r="I46" s="42">
        <f>Computations!BJ837</f>
        <v>0</v>
      </c>
      <c r="J46" s="42">
        <f>Computations!BJ896</f>
        <v>0</v>
      </c>
      <c r="K46" s="42" t="e">
        <f t="shared" si="1"/>
        <v>#DIV/0!</v>
      </c>
      <c r="L46" s="42" t="e">
        <f t="shared" si="2"/>
        <v>#DIV/0!</v>
      </c>
    </row>
    <row r="47" spans="1:12" x14ac:dyDescent="0.2">
      <c r="A47">
        <v>1711.1</v>
      </c>
      <c r="B47">
        <f t="shared" si="3"/>
        <v>348</v>
      </c>
      <c r="C47" s="44">
        <f>Computations!AQ543</f>
        <v>0</v>
      </c>
      <c r="D47" s="43" t="e">
        <f>Computations!AQ484</f>
        <v>#DIV/0!</v>
      </c>
      <c r="E47" s="42">
        <f>Computations!BJ425+Figures!BJ429</f>
        <v>0</v>
      </c>
      <c r="F47" s="42">
        <f>Computations!BJ602</f>
        <v>0</v>
      </c>
      <c r="G47" s="42">
        <f>Computations!BJ720</f>
        <v>0</v>
      </c>
      <c r="H47" s="43">
        <f>Computations!AQ779</f>
        <v>0</v>
      </c>
      <c r="I47" s="42">
        <f>Computations!BJ838</f>
        <v>0</v>
      </c>
      <c r="J47" s="42">
        <f>Computations!BJ897</f>
        <v>0</v>
      </c>
      <c r="K47" s="42" t="e">
        <f t="shared" si="1"/>
        <v>#DIV/0!</v>
      </c>
      <c r="L47" s="42" t="e">
        <f t="shared" si="2"/>
        <v>#DIV/0!</v>
      </c>
    </row>
    <row r="48" spans="1:12" x14ac:dyDescent="0.2">
      <c r="A48">
        <v>1711.1</v>
      </c>
      <c r="B48">
        <f t="shared" si="3"/>
        <v>398</v>
      </c>
      <c r="C48" s="44">
        <f>Computations!AQ544</f>
        <v>0</v>
      </c>
      <c r="D48" s="43" t="e">
        <f>Computations!AQ485</f>
        <v>#DIV/0!</v>
      </c>
      <c r="E48" s="42">
        <f>Computations!BJ426+Figures!BJ430</f>
        <v>0</v>
      </c>
      <c r="F48" s="42">
        <f>Computations!BJ603</f>
        <v>0</v>
      </c>
      <c r="G48" s="42">
        <f>Computations!BJ721</f>
        <v>0</v>
      </c>
      <c r="H48" s="43">
        <f>Computations!AQ780</f>
        <v>0</v>
      </c>
      <c r="I48" s="42">
        <f>Computations!BJ839</f>
        <v>0</v>
      </c>
      <c r="J48" s="42">
        <f>Computations!BJ898</f>
        <v>0</v>
      </c>
      <c r="K48" s="42" t="e">
        <f t="shared" si="1"/>
        <v>#DIV/0!</v>
      </c>
      <c r="L48" s="42" t="e">
        <f t="shared" si="2"/>
        <v>#DIV/0!</v>
      </c>
    </row>
    <row r="49" spans="1:12" x14ac:dyDescent="0.2">
      <c r="A49">
        <v>1711.1</v>
      </c>
      <c r="B49">
        <f t="shared" si="3"/>
        <v>448</v>
      </c>
      <c r="C49" s="44">
        <f>Computations!AQ545</f>
        <v>0</v>
      </c>
      <c r="D49" s="43" t="e">
        <f>Computations!AQ486</f>
        <v>#DIV/0!</v>
      </c>
      <c r="E49" s="42">
        <f>Computations!BJ427+Figures!BJ431</f>
        <v>0</v>
      </c>
      <c r="F49" s="42">
        <f>Computations!BJ604</f>
        <v>0</v>
      </c>
      <c r="G49" s="42">
        <f>Computations!BJ722</f>
        <v>0</v>
      </c>
      <c r="H49" s="43">
        <f>Computations!AQ781</f>
        <v>0</v>
      </c>
      <c r="I49" s="42">
        <f>Computations!BJ840</f>
        <v>0</v>
      </c>
      <c r="J49" s="42">
        <f>Computations!BJ899</f>
        <v>0</v>
      </c>
      <c r="K49" s="42" t="e">
        <f t="shared" si="1"/>
        <v>#DIV/0!</v>
      </c>
      <c r="L49" s="42" t="e">
        <f t="shared" si="2"/>
        <v>#DIV/0!</v>
      </c>
    </row>
    <row r="50" spans="1:12" x14ac:dyDescent="0.2">
      <c r="A50">
        <v>1711.1</v>
      </c>
      <c r="B50">
        <f t="shared" si="3"/>
        <v>498</v>
      </c>
      <c r="C50" s="44">
        <f>Computations!AQ546</f>
        <v>0</v>
      </c>
      <c r="D50" s="43" t="e">
        <f>Computations!AQ487</f>
        <v>#DIV/0!</v>
      </c>
      <c r="E50" s="42">
        <f>Computations!BJ428+Figures!BJ432</f>
        <v>0</v>
      </c>
      <c r="F50" s="42">
        <f>Computations!BJ605</f>
        <v>0</v>
      </c>
      <c r="G50" s="42">
        <f>Computations!BJ723</f>
        <v>0</v>
      </c>
      <c r="H50" s="43">
        <f>Computations!AQ782</f>
        <v>0</v>
      </c>
      <c r="I50" s="42">
        <f>Computations!BJ841</f>
        <v>0</v>
      </c>
      <c r="J50" s="42">
        <f>Computations!BJ900</f>
        <v>0</v>
      </c>
      <c r="K50" s="42" t="e">
        <f t="shared" si="1"/>
        <v>#DIV/0!</v>
      </c>
      <c r="L50" s="42" t="e">
        <f t="shared" si="2"/>
        <v>#DIV/0!</v>
      </c>
    </row>
    <row r="51" spans="1:12" x14ac:dyDescent="0.2">
      <c r="A51">
        <v>1711.1</v>
      </c>
      <c r="B51">
        <f t="shared" si="3"/>
        <v>548</v>
      </c>
      <c r="C51" s="44">
        <f>Computations!AQ547</f>
        <v>0</v>
      </c>
      <c r="D51" s="43" t="e">
        <f>Computations!AQ488</f>
        <v>#DIV/0!</v>
      </c>
      <c r="E51" s="42">
        <f>Computations!BJ429+Figures!BJ433</f>
        <v>0</v>
      </c>
      <c r="F51" s="42">
        <f>Computations!BJ606</f>
        <v>0</v>
      </c>
      <c r="G51" s="42">
        <f>Computations!BJ724</f>
        <v>0</v>
      </c>
      <c r="H51" s="43">
        <f>Computations!AQ783</f>
        <v>0</v>
      </c>
      <c r="I51" s="42">
        <f>Computations!BJ842</f>
        <v>0</v>
      </c>
      <c r="J51" s="42">
        <f>Computations!BJ901</f>
        <v>0</v>
      </c>
      <c r="K51" s="42" t="e">
        <f t="shared" si="1"/>
        <v>#DIV/0!</v>
      </c>
      <c r="L51" s="42" t="e">
        <f t="shared" si="2"/>
        <v>#DIV/0!</v>
      </c>
    </row>
    <row r="52" spans="1:12" x14ac:dyDescent="0.2">
      <c r="A52">
        <v>1711.1</v>
      </c>
      <c r="B52">
        <f t="shared" si="3"/>
        <v>598</v>
      </c>
      <c r="C52" s="44">
        <f>Computations!AQ548</f>
        <v>0</v>
      </c>
      <c r="D52" s="43" t="e">
        <f>Computations!AQ489</f>
        <v>#DIV/0!</v>
      </c>
      <c r="E52" s="42">
        <f>Computations!BJ430+Figures!BJ434</f>
        <v>0</v>
      </c>
      <c r="F52" s="42">
        <f>Computations!BJ607</f>
        <v>0</v>
      </c>
      <c r="G52" s="42">
        <f>Computations!BJ725</f>
        <v>0</v>
      </c>
      <c r="H52" s="43">
        <f>Computations!AQ784</f>
        <v>0</v>
      </c>
      <c r="I52" s="42">
        <f>Computations!BJ843</f>
        <v>0</v>
      </c>
      <c r="J52" s="42">
        <f>Computations!BJ902</f>
        <v>0</v>
      </c>
      <c r="K52" s="42" t="e">
        <f t="shared" si="1"/>
        <v>#DIV/0!</v>
      </c>
      <c r="L52" s="42" t="e">
        <f t="shared" si="2"/>
        <v>#DIV/0!</v>
      </c>
    </row>
    <row r="53" spans="1:12" x14ac:dyDescent="0.2">
      <c r="A53">
        <v>1711.1</v>
      </c>
      <c r="B53">
        <f t="shared" si="3"/>
        <v>648</v>
      </c>
      <c r="C53" s="44">
        <f>Computations!AQ549</f>
        <v>0</v>
      </c>
      <c r="D53" s="43" t="e">
        <f>Computations!AQ490</f>
        <v>#DIV/0!</v>
      </c>
      <c r="E53" s="42">
        <f>Computations!BJ431+Figures!BJ435</f>
        <v>0</v>
      </c>
      <c r="F53" s="42">
        <f>Computations!BJ608</f>
        <v>0</v>
      </c>
      <c r="G53" s="42">
        <f>Computations!BJ726</f>
        <v>0</v>
      </c>
      <c r="H53" s="43">
        <f>Computations!AQ785</f>
        <v>0</v>
      </c>
      <c r="I53" s="42">
        <f>Computations!BJ844</f>
        <v>0</v>
      </c>
      <c r="J53" s="42">
        <f>Computations!BJ903</f>
        <v>0</v>
      </c>
      <c r="K53" s="42" t="e">
        <f t="shared" si="1"/>
        <v>#DIV/0!</v>
      </c>
      <c r="L53" s="42" t="e">
        <f t="shared" si="2"/>
        <v>#DIV/0!</v>
      </c>
    </row>
    <row r="54" spans="1:12" x14ac:dyDescent="0.2">
      <c r="A54">
        <v>1711.1</v>
      </c>
      <c r="B54">
        <f t="shared" si="3"/>
        <v>698</v>
      </c>
      <c r="C54" s="44">
        <f>Computations!AQ550</f>
        <v>0</v>
      </c>
      <c r="D54" s="43" t="e">
        <f>Computations!AQ491</f>
        <v>#DIV/0!</v>
      </c>
      <c r="E54" s="42">
        <f>Computations!BJ432+Figures!BJ436</f>
        <v>0</v>
      </c>
      <c r="F54" s="42">
        <f>Computations!BJ609</f>
        <v>0</v>
      </c>
      <c r="G54" s="42">
        <f>Computations!BJ727</f>
        <v>0</v>
      </c>
      <c r="H54" s="43">
        <f>Computations!AQ786</f>
        <v>0</v>
      </c>
      <c r="I54" s="42">
        <f>Computations!BJ845</f>
        <v>0</v>
      </c>
      <c r="J54" s="42">
        <f>Computations!BJ904</f>
        <v>0</v>
      </c>
      <c r="K54" s="42" t="e">
        <f t="shared" si="1"/>
        <v>#DIV/0!</v>
      </c>
      <c r="L54" s="42" t="e">
        <f t="shared" si="2"/>
        <v>#DIV/0!</v>
      </c>
    </row>
    <row r="55" spans="1:12" x14ac:dyDescent="0.2">
      <c r="A55">
        <v>1711.1</v>
      </c>
      <c r="B55">
        <f t="shared" si="3"/>
        <v>748</v>
      </c>
      <c r="C55" s="44">
        <f>Computations!AQ551</f>
        <v>0</v>
      </c>
      <c r="D55" s="43" t="e">
        <f>Computations!AQ492</f>
        <v>#DIV/0!</v>
      </c>
      <c r="E55" s="42">
        <f>Computations!BJ433+Figures!BJ437</f>
        <v>0</v>
      </c>
      <c r="F55" s="42">
        <f>Computations!BJ610</f>
        <v>0</v>
      </c>
      <c r="G55" s="42">
        <f>Computations!BJ728</f>
        <v>0</v>
      </c>
      <c r="H55" s="43">
        <f>Computations!AQ787</f>
        <v>0</v>
      </c>
      <c r="I55" s="42">
        <f>Computations!BJ846</f>
        <v>0</v>
      </c>
      <c r="J55" s="42">
        <f>Computations!BJ905</f>
        <v>0</v>
      </c>
      <c r="K55" s="42" t="e">
        <f t="shared" si="1"/>
        <v>#DIV/0!</v>
      </c>
      <c r="L55" s="42" t="e">
        <f t="shared" si="2"/>
        <v>#DIV/0!</v>
      </c>
    </row>
    <row r="56" spans="1:12" x14ac:dyDescent="0.2">
      <c r="A56">
        <v>1711.1</v>
      </c>
      <c r="B56">
        <f t="shared" si="3"/>
        <v>798</v>
      </c>
      <c r="C56" s="44">
        <f>Computations!AQ552</f>
        <v>0</v>
      </c>
      <c r="D56" s="43" t="e">
        <f>Computations!AQ493</f>
        <v>#DIV/0!</v>
      </c>
      <c r="E56" s="42">
        <f>Computations!BJ434+Figures!BJ438</f>
        <v>0</v>
      </c>
      <c r="F56" s="42">
        <f>Computations!BJ611</f>
        <v>0</v>
      </c>
      <c r="G56" s="42">
        <f>Computations!BJ729</f>
        <v>0</v>
      </c>
      <c r="H56" s="43">
        <f>Computations!AQ788</f>
        <v>0</v>
      </c>
      <c r="I56" s="42">
        <f>Computations!BJ847</f>
        <v>0</v>
      </c>
      <c r="J56" s="42">
        <f>Computations!BJ906</f>
        <v>0</v>
      </c>
      <c r="K56" s="42" t="e">
        <f t="shared" si="1"/>
        <v>#DIV/0!</v>
      </c>
      <c r="L56" s="42" t="e">
        <f t="shared" si="2"/>
        <v>#DIV/0!</v>
      </c>
    </row>
    <row r="57" spans="1:12" x14ac:dyDescent="0.2">
      <c r="A57">
        <v>1711.1</v>
      </c>
      <c r="B57">
        <f t="shared" si="3"/>
        <v>848</v>
      </c>
      <c r="C57" s="44">
        <f>Computations!AQ553</f>
        <v>0</v>
      </c>
      <c r="D57" s="43" t="e">
        <f>Computations!AQ494</f>
        <v>#DIV/0!</v>
      </c>
      <c r="E57" s="42">
        <f>Computations!BJ435+Figures!BJ439</f>
        <v>0</v>
      </c>
      <c r="F57" s="42">
        <f>Computations!BJ612</f>
        <v>0</v>
      </c>
      <c r="G57" s="42">
        <f>Computations!BJ730</f>
        <v>0</v>
      </c>
      <c r="H57" s="43">
        <f>Computations!AQ789</f>
        <v>0</v>
      </c>
      <c r="I57" s="42">
        <f>Computations!BJ848</f>
        <v>0</v>
      </c>
      <c r="J57" s="42">
        <f>Computations!BJ907</f>
        <v>0</v>
      </c>
      <c r="K57" s="42" t="e">
        <f t="shared" si="1"/>
        <v>#DIV/0!</v>
      </c>
      <c r="L57" s="42" t="e">
        <f t="shared" si="2"/>
        <v>#DIV/0!</v>
      </c>
    </row>
    <row r="58" spans="1:12" x14ac:dyDescent="0.2">
      <c r="A58">
        <v>1711.1</v>
      </c>
      <c r="B58">
        <f t="shared" si="3"/>
        <v>898</v>
      </c>
      <c r="C58" s="44">
        <f>Computations!AQ554</f>
        <v>0</v>
      </c>
      <c r="D58" s="43" t="e">
        <f>Computations!AQ495</f>
        <v>#DIV/0!</v>
      </c>
      <c r="E58" s="42">
        <f>Computations!BJ436+Figures!BJ440</f>
        <v>0</v>
      </c>
      <c r="F58" s="42">
        <f>Computations!BJ613</f>
        <v>0</v>
      </c>
      <c r="G58" s="42">
        <f>Computations!BJ731</f>
        <v>0</v>
      </c>
      <c r="H58" s="43">
        <f>Computations!AQ790</f>
        <v>0</v>
      </c>
      <c r="I58" s="42">
        <f>Computations!BJ849</f>
        <v>0</v>
      </c>
      <c r="J58" s="42">
        <f>Computations!BJ908</f>
        <v>0</v>
      </c>
      <c r="K58" s="42" t="e">
        <f t="shared" si="1"/>
        <v>#DIV/0!</v>
      </c>
      <c r="L58" s="42" t="e">
        <f t="shared" si="2"/>
        <v>#DIV/0!</v>
      </c>
    </row>
    <row r="59" spans="1:12" x14ac:dyDescent="0.2">
      <c r="A59">
        <v>1711.1</v>
      </c>
      <c r="B59">
        <f t="shared" si="3"/>
        <v>948</v>
      </c>
      <c r="C59" s="44">
        <f>Computations!AQ555</f>
        <v>0</v>
      </c>
      <c r="D59" s="43" t="e">
        <f>Computations!AQ496</f>
        <v>#DIV/0!</v>
      </c>
      <c r="E59" s="42">
        <f>Computations!BJ437+Figures!BJ441</f>
        <v>0</v>
      </c>
      <c r="F59" s="42">
        <f>Computations!BJ614</f>
        <v>0</v>
      </c>
      <c r="G59" s="42">
        <f>Computations!BJ732</f>
        <v>0</v>
      </c>
      <c r="H59" s="43">
        <f>Computations!AQ791</f>
        <v>0</v>
      </c>
      <c r="I59" s="42">
        <f>Computations!BJ850</f>
        <v>0</v>
      </c>
      <c r="J59" s="42">
        <f>Computations!BJ909</f>
        <v>0</v>
      </c>
      <c r="K59" s="42" t="e">
        <f t="shared" si="1"/>
        <v>#DIV/0!</v>
      </c>
      <c r="L59" s="42" t="e">
        <f t="shared" si="2"/>
        <v>#DIV/0!</v>
      </c>
    </row>
    <row r="60" spans="1:12" x14ac:dyDescent="0.2">
      <c r="C60" s="44"/>
      <c r="D60" s="43"/>
      <c r="E60" s="42"/>
      <c r="F60" s="42"/>
      <c r="G60" s="42"/>
      <c r="H60" s="43"/>
      <c r="I60" s="42"/>
      <c r="J60" s="42"/>
      <c r="K60" s="42"/>
      <c r="L60" s="42"/>
    </row>
    <row r="61" spans="1:12" x14ac:dyDescent="0.2">
      <c r="A61" t="s">
        <v>146</v>
      </c>
      <c r="C61" s="44"/>
      <c r="D61" s="43"/>
      <c r="E61" s="42"/>
      <c r="F61" s="42"/>
      <c r="G61" s="42"/>
      <c r="H61" s="43"/>
      <c r="I61" s="42"/>
      <c r="J61" s="42"/>
      <c r="K61" s="42"/>
      <c r="L61" s="42"/>
    </row>
    <row r="62" spans="1:12" x14ac:dyDescent="0.2">
      <c r="A62" t="s">
        <v>139</v>
      </c>
      <c r="C62" s="44">
        <v>1.5E-5</v>
      </c>
      <c r="D62" s="43">
        <v>2600</v>
      </c>
      <c r="E62" s="42">
        <v>40</v>
      </c>
      <c r="F62" s="42">
        <v>40</v>
      </c>
      <c r="G62" s="42">
        <v>20</v>
      </c>
      <c r="H62" s="43">
        <v>800</v>
      </c>
      <c r="I62" s="42">
        <v>5</v>
      </c>
      <c r="J62" s="42">
        <v>2.5</v>
      </c>
      <c r="K62" s="42">
        <v>1.65</v>
      </c>
      <c r="L62" s="42">
        <v>0.22</v>
      </c>
    </row>
    <row r="63" spans="1:12" x14ac:dyDescent="0.2">
      <c r="A63" t="s">
        <v>140</v>
      </c>
      <c r="C63" s="44">
        <v>5.0000000000000002E-5</v>
      </c>
      <c r="D63" s="43">
        <v>3600</v>
      </c>
      <c r="E63" s="42">
        <v>130</v>
      </c>
      <c r="F63" s="42">
        <v>130</v>
      </c>
      <c r="G63" s="42">
        <v>80</v>
      </c>
      <c r="H63" s="43">
        <v>1300</v>
      </c>
      <c r="I63" s="42">
        <v>8.6999999999999993</v>
      </c>
      <c r="J63" s="42">
        <v>5</v>
      </c>
      <c r="K63" s="42">
        <v>2.1</v>
      </c>
      <c r="L63" s="42">
        <v>0.38</v>
      </c>
    </row>
    <row r="64" spans="1:12" x14ac:dyDescent="0.2">
      <c r="C64" s="44"/>
      <c r="D64" s="43"/>
      <c r="E64" s="42"/>
      <c r="F64" s="42"/>
      <c r="G64" s="42"/>
      <c r="H64" s="43"/>
      <c r="I64" s="42"/>
      <c r="J64" s="42"/>
      <c r="K64" s="42"/>
      <c r="L64" s="42"/>
    </row>
  </sheetData>
  <pageMargins left="0.75" right="0.75" top="1" bottom="1" header="0.5" footer="0.5"/>
  <pageSetup orientation="portrait" horizontalDpi="4294967292" verticalDpi="4294967292"/>
  <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51"/>
  <sheetViews>
    <sheetView workbookViewId="0">
      <selection activeCell="A2" sqref="A2:F2"/>
    </sheetView>
  </sheetViews>
  <sheetFormatPr baseColWidth="10" defaultRowHeight="16" x14ac:dyDescent="0.2"/>
  <cols>
    <col min="1" max="1" width="19.1640625" customWidth="1"/>
    <col min="4" max="4" width="12.33203125" customWidth="1"/>
    <col min="5" max="5" width="15.1640625" customWidth="1"/>
  </cols>
  <sheetData>
    <row r="1" spans="1:10" x14ac:dyDescent="0.2">
      <c r="A1" s="70" t="s">
        <v>155</v>
      </c>
      <c r="B1" s="70"/>
      <c r="C1" s="70"/>
      <c r="D1" s="70"/>
      <c r="E1" s="70"/>
      <c r="F1" s="70"/>
    </row>
    <row r="2" spans="1:10" ht="75" customHeight="1" x14ac:dyDescent="0.2">
      <c r="A2" s="71" t="s">
        <v>157</v>
      </c>
      <c r="B2" s="71"/>
      <c r="C2" s="71"/>
      <c r="D2" s="71"/>
      <c r="E2" s="71"/>
      <c r="F2" s="71"/>
      <c r="G2" s="53"/>
      <c r="H2" s="53"/>
    </row>
    <row r="3" spans="1:10" x14ac:dyDescent="0.2">
      <c r="A3" s="55" t="s">
        <v>152</v>
      </c>
      <c r="B3" s="55"/>
      <c r="C3" s="56"/>
      <c r="D3" s="57"/>
      <c r="E3" s="56"/>
      <c r="F3" s="40"/>
    </row>
    <row r="4" spans="1:10" x14ac:dyDescent="0.2">
      <c r="A4" s="55"/>
      <c r="B4" s="40"/>
      <c r="C4" s="56" t="s">
        <v>149</v>
      </c>
      <c r="D4" s="57" t="s">
        <v>150</v>
      </c>
      <c r="E4" s="56" t="s">
        <v>151</v>
      </c>
      <c r="F4" s="40"/>
    </row>
    <row r="5" spans="1:10" x14ac:dyDescent="0.2">
      <c r="A5" s="54" t="s">
        <v>117</v>
      </c>
      <c r="B5" s="40"/>
      <c r="C5" s="56"/>
      <c r="D5" s="57"/>
      <c r="E5" s="56"/>
      <c r="F5" s="58"/>
      <c r="G5" s="42"/>
      <c r="H5" s="43"/>
      <c r="J5" s="42"/>
    </row>
    <row r="6" spans="1:10" x14ac:dyDescent="0.2">
      <c r="A6" s="54" t="s">
        <v>118</v>
      </c>
      <c r="B6" s="40"/>
      <c r="C6" s="56"/>
      <c r="D6" s="56"/>
      <c r="E6" s="56"/>
      <c r="F6" s="40"/>
      <c r="G6" s="42"/>
      <c r="H6" s="43"/>
      <c r="J6" s="42"/>
    </row>
    <row r="7" spans="1:10" x14ac:dyDescent="0.2">
      <c r="A7" s="54" t="s">
        <v>141</v>
      </c>
      <c r="B7" s="40"/>
      <c r="C7" s="56"/>
      <c r="D7" s="56"/>
      <c r="E7" s="56"/>
      <c r="F7" s="40"/>
      <c r="G7" s="42"/>
      <c r="H7" s="43"/>
      <c r="J7" s="42"/>
    </row>
    <row r="8" spans="1:10" x14ac:dyDescent="0.2">
      <c r="A8" s="54" t="s">
        <v>121</v>
      </c>
      <c r="B8" s="40"/>
      <c r="C8" s="56"/>
      <c r="D8" s="56"/>
      <c r="E8" s="56"/>
      <c r="F8" s="40"/>
      <c r="G8" s="42"/>
      <c r="H8" s="43"/>
      <c r="J8" s="42"/>
    </row>
    <row r="9" spans="1:10" x14ac:dyDescent="0.2">
      <c r="A9" s="54" t="s">
        <v>122</v>
      </c>
      <c r="B9" s="40"/>
      <c r="C9" s="56"/>
      <c r="D9" s="56"/>
      <c r="E9" s="56"/>
      <c r="F9" s="40"/>
      <c r="G9" s="42"/>
      <c r="H9" s="43"/>
      <c r="J9" s="42"/>
    </row>
    <row r="10" spans="1:10" x14ac:dyDescent="0.2">
      <c r="A10" s="54" t="s">
        <v>123</v>
      </c>
      <c r="B10" s="40"/>
      <c r="C10" s="56"/>
      <c r="D10" s="56"/>
      <c r="E10" s="56"/>
      <c r="F10" s="40"/>
      <c r="G10" s="42"/>
      <c r="H10" s="43"/>
      <c r="J10" s="42"/>
    </row>
    <row r="11" spans="1:10" x14ac:dyDescent="0.2">
      <c r="A11" s="54" t="s">
        <v>124</v>
      </c>
      <c r="B11" s="40"/>
      <c r="C11" s="56"/>
      <c r="D11" s="56"/>
      <c r="E11" s="56"/>
      <c r="F11" s="40"/>
      <c r="G11" s="42"/>
      <c r="H11" s="43"/>
      <c r="J11" s="42"/>
    </row>
    <row r="12" spans="1:10" x14ac:dyDescent="0.2">
      <c r="A12" s="54" t="s">
        <v>136</v>
      </c>
      <c r="B12" s="40"/>
      <c r="C12" s="56"/>
      <c r="D12" s="57"/>
      <c r="E12" s="56"/>
      <c r="F12" s="58"/>
      <c r="G12" s="42"/>
      <c r="H12" s="43"/>
      <c r="J12" s="42"/>
    </row>
    <row r="13" spans="1:10" x14ac:dyDescent="0.2">
      <c r="A13" s="54" t="s">
        <v>130</v>
      </c>
      <c r="B13" s="40"/>
      <c r="C13" s="56"/>
      <c r="D13" s="57"/>
      <c r="E13" s="56"/>
      <c r="F13" s="58"/>
      <c r="G13" s="42"/>
      <c r="H13" s="43"/>
      <c r="J13" s="42"/>
    </row>
    <row r="14" spans="1:10" x14ac:dyDescent="0.2">
      <c r="A14" s="40"/>
      <c r="B14" s="40"/>
      <c r="C14" s="56"/>
      <c r="D14" s="56"/>
      <c r="E14" s="56"/>
      <c r="F14" s="40"/>
      <c r="G14" s="42"/>
      <c r="H14" s="43"/>
      <c r="J14" s="42"/>
    </row>
    <row r="15" spans="1:10" x14ac:dyDescent="0.2">
      <c r="A15" s="55" t="s">
        <v>153</v>
      </c>
      <c r="B15" s="55"/>
      <c r="C15" s="55"/>
      <c r="D15" s="56"/>
      <c r="E15" s="56"/>
      <c r="F15" s="40"/>
      <c r="G15" s="42"/>
      <c r="H15" s="43"/>
      <c r="J15" s="42"/>
    </row>
    <row r="16" spans="1:10" x14ac:dyDescent="0.2">
      <c r="A16" s="55"/>
      <c r="B16" s="40"/>
      <c r="C16" s="56" t="s">
        <v>149</v>
      </c>
      <c r="D16" s="57" t="s">
        <v>150</v>
      </c>
      <c r="E16" s="56" t="s">
        <v>151</v>
      </c>
      <c r="F16" s="40"/>
    </row>
    <row r="17" spans="1:6" x14ac:dyDescent="0.2">
      <c r="A17" s="54" t="s">
        <v>117</v>
      </c>
      <c r="B17" s="40"/>
      <c r="C17" s="56"/>
      <c r="D17" s="56"/>
      <c r="E17" s="56"/>
      <c r="F17" s="40"/>
    </row>
    <row r="18" spans="1:6" x14ac:dyDescent="0.2">
      <c r="A18" s="54" t="s">
        <v>118</v>
      </c>
      <c r="B18" s="40"/>
      <c r="C18" s="56"/>
      <c r="D18" s="57"/>
      <c r="E18" s="56"/>
      <c r="F18" s="58"/>
    </row>
    <row r="19" spans="1:6" x14ac:dyDescent="0.2">
      <c r="A19" s="54" t="s">
        <v>141</v>
      </c>
      <c r="B19" s="40"/>
      <c r="C19" s="56"/>
      <c r="D19" s="57"/>
      <c r="E19" s="56"/>
      <c r="F19" s="58"/>
    </row>
    <row r="20" spans="1:6" x14ac:dyDescent="0.2">
      <c r="A20" s="54" t="s">
        <v>121</v>
      </c>
      <c r="B20" s="40"/>
      <c r="C20" s="56"/>
      <c r="D20" s="57"/>
      <c r="E20" s="56"/>
      <c r="F20" s="58"/>
    </row>
    <row r="21" spans="1:6" x14ac:dyDescent="0.2">
      <c r="A21" s="54" t="s">
        <v>122</v>
      </c>
      <c r="B21" s="40"/>
      <c r="C21" s="56"/>
      <c r="D21" s="57"/>
      <c r="E21" s="56"/>
      <c r="F21" s="58"/>
    </row>
    <row r="22" spans="1:6" x14ac:dyDescent="0.2">
      <c r="A22" s="54" t="s">
        <v>123</v>
      </c>
      <c r="B22" s="40"/>
      <c r="C22" s="56"/>
      <c r="D22" s="57"/>
      <c r="E22" s="56"/>
      <c r="F22" s="58"/>
    </row>
    <row r="23" spans="1:6" x14ac:dyDescent="0.2">
      <c r="A23" s="54" t="s">
        <v>124</v>
      </c>
      <c r="B23" s="40"/>
      <c r="C23" s="56"/>
      <c r="D23" s="57"/>
      <c r="E23" s="56"/>
      <c r="F23" s="58"/>
    </row>
    <row r="24" spans="1:6" x14ac:dyDescent="0.2">
      <c r="A24" s="54" t="s">
        <v>136</v>
      </c>
      <c r="B24" s="40"/>
      <c r="C24" s="56"/>
      <c r="D24" s="57"/>
      <c r="E24" s="56"/>
      <c r="F24" s="58"/>
    </row>
    <row r="25" spans="1:6" x14ac:dyDescent="0.2">
      <c r="A25" s="54" t="s">
        <v>130</v>
      </c>
      <c r="B25" s="40"/>
      <c r="C25" s="56"/>
      <c r="D25" s="57"/>
      <c r="E25" s="56"/>
      <c r="F25" s="58"/>
    </row>
    <row r="26" spans="1:6" x14ac:dyDescent="0.2">
      <c r="A26" s="40"/>
      <c r="B26" s="40"/>
      <c r="C26" s="56"/>
      <c r="D26" s="56"/>
      <c r="E26" s="56"/>
      <c r="F26" s="40"/>
    </row>
    <row r="27" spans="1:6" ht="18" x14ac:dyDescent="0.25">
      <c r="A27" s="55" t="s">
        <v>156</v>
      </c>
      <c r="B27" s="55"/>
      <c r="C27" s="55"/>
      <c r="D27" s="55"/>
      <c r="E27" s="55"/>
      <c r="F27" s="40"/>
    </row>
    <row r="28" spans="1:6" x14ac:dyDescent="0.2">
      <c r="A28" s="55"/>
      <c r="B28" s="40"/>
      <c r="C28" s="56" t="s">
        <v>149</v>
      </c>
      <c r="D28" s="57" t="s">
        <v>150</v>
      </c>
      <c r="E28" s="56" t="s">
        <v>151</v>
      </c>
      <c r="F28" s="40"/>
    </row>
    <row r="29" spans="1:6" x14ac:dyDescent="0.2">
      <c r="A29" s="54" t="s">
        <v>117</v>
      </c>
      <c r="B29" s="40"/>
      <c r="C29" s="56"/>
      <c r="D29" s="56"/>
      <c r="E29" s="56"/>
      <c r="F29" s="40"/>
    </row>
    <row r="30" spans="1:6" x14ac:dyDescent="0.2">
      <c r="A30" s="54" t="s">
        <v>118</v>
      </c>
      <c r="B30" s="40"/>
      <c r="C30" s="56"/>
      <c r="D30" s="56"/>
      <c r="E30" s="56"/>
      <c r="F30" s="40"/>
    </row>
    <row r="31" spans="1:6" x14ac:dyDescent="0.2">
      <c r="A31" s="54" t="s">
        <v>141</v>
      </c>
      <c r="B31" s="40"/>
      <c r="C31" s="56"/>
      <c r="D31" s="56"/>
      <c r="E31" s="56"/>
      <c r="F31" s="40"/>
    </row>
    <row r="32" spans="1:6" x14ac:dyDescent="0.2">
      <c r="A32" s="54" t="s">
        <v>121</v>
      </c>
      <c r="B32" s="40"/>
      <c r="C32" s="56"/>
      <c r="D32" s="56"/>
      <c r="E32" s="56"/>
      <c r="F32" s="40"/>
    </row>
    <row r="33" spans="1:6" x14ac:dyDescent="0.2">
      <c r="A33" s="54" t="s">
        <v>122</v>
      </c>
      <c r="B33" s="40"/>
      <c r="C33" s="56"/>
      <c r="D33" s="56"/>
      <c r="E33" s="56"/>
      <c r="F33" s="40"/>
    </row>
    <row r="34" spans="1:6" x14ac:dyDescent="0.2">
      <c r="A34" s="54" t="s">
        <v>123</v>
      </c>
      <c r="B34" s="40"/>
      <c r="C34" s="56"/>
      <c r="D34" s="56"/>
      <c r="E34" s="56"/>
      <c r="F34" s="40"/>
    </row>
    <row r="35" spans="1:6" x14ac:dyDescent="0.2">
      <c r="A35" s="54" t="s">
        <v>124</v>
      </c>
      <c r="B35" s="40"/>
      <c r="C35" s="56"/>
      <c r="D35" s="56"/>
      <c r="E35" s="56"/>
      <c r="F35" s="40"/>
    </row>
    <row r="36" spans="1:6" x14ac:dyDescent="0.2">
      <c r="A36" s="54" t="s">
        <v>136</v>
      </c>
      <c r="B36" s="40"/>
      <c r="C36" s="56"/>
      <c r="D36" s="56"/>
      <c r="E36" s="56"/>
      <c r="F36" s="40"/>
    </row>
    <row r="37" spans="1:6" x14ac:dyDescent="0.2">
      <c r="A37" s="54" t="s">
        <v>130</v>
      </c>
      <c r="B37" s="40"/>
      <c r="C37" s="56"/>
      <c r="D37" s="56"/>
      <c r="E37" s="56"/>
      <c r="F37" s="40"/>
    </row>
    <row r="38" spans="1:6" x14ac:dyDescent="0.2">
      <c r="A38" s="40"/>
      <c r="B38" s="40"/>
      <c r="C38" s="56"/>
      <c r="D38" s="56"/>
      <c r="E38" s="56"/>
      <c r="F38" s="40"/>
    </row>
    <row r="39" spans="1:6" x14ac:dyDescent="0.2">
      <c r="A39" s="59" t="s">
        <v>154</v>
      </c>
      <c r="B39" s="59"/>
      <c r="C39" s="59"/>
      <c r="D39" s="59"/>
      <c r="E39" s="59"/>
      <c r="F39" s="40"/>
    </row>
    <row r="40" spans="1:6" x14ac:dyDescent="0.2">
      <c r="A40" s="40"/>
      <c r="B40" s="40"/>
      <c r="C40" s="56" t="s">
        <v>142</v>
      </c>
      <c r="D40" s="56" t="s">
        <v>143</v>
      </c>
      <c r="E40" s="56" t="s">
        <v>144</v>
      </c>
      <c r="F40" s="40"/>
    </row>
    <row r="41" spans="1:6" x14ac:dyDescent="0.2">
      <c r="A41" s="54" t="s">
        <v>117</v>
      </c>
      <c r="B41" s="40"/>
      <c r="C41" s="56"/>
      <c r="D41" s="56"/>
      <c r="E41" s="60"/>
      <c r="F41" s="40"/>
    </row>
    <row r="42" spans="1:6" x14ac:dyDescent="0.2">
      <c r="A42" s="54" t="s">
        <v>118</v>
      </c>
      <c r="B42" s="40"/>
      <c r="C42" s="56"/>
      <c r="D42" s="56"/>
      <c r="E42" s="60"/>
      <c r="F42" s="40"/>
    </row>
    <row r="43" spans="1:6" x14ac:dyDescent="0.2">
      <c r="A43" s="54" t="s">
        <v>141</v>
      </c>
      <c r="B43" s="40"/>
      <c r="C43" s="56"/>
      <c r="D43" s="56"/>
      <c r="E43" s="60"/>
      <c r="F43" s="40"/>
    </row>
    <row r="44" spans="1:6" x14ac:dyDescent="0.2">
      <c r="A44" s="54" t="s">
        <v>121</v>
      </c>
      <c r="B44" s="40"/>
      <c r="C44" s="56"/>
      <c r="D44" s="60"/>
      <c r="E44" s="56"/>
      <c r="F44" s="40"/>
    </row>
    <row r="45" spans="1:6" x14ac:dyDescent="0.2">
      <c r="A45" s="54" t="s">
        <v>122</v>
      </c>
      <c r="B45" s="40"/>
      <c r="C45" s="56"/>
      <c r="D45" s="60"/>
      <c r="E45" s="56"/>
      <c r="F45" s="40"/>
    </row>
    <row r="46" spans="1:6" x14ac:dyDescent="0.2">
      <c r="A46" s="54" t="s">
        <v>123</v>
      </c>
      <c r="B46" s="40"/>
      <c r="C46" s="56"/>
      <c r="D46" s="56"/>
      <c r="E46" s="60"/>
      <c r="F46" s="40"/>
    </row>
    <row r="47" spans="1:6" x14ac:dyDescent="0.2">
      <c r="A47" s="54" t="s">
        <v>124</v>
      </c>
      <c r="B47" s="40"/>
      <c r="C47" s="56"/>
      <c r="D47" s="56"/>
      <c r="E47" s="60"/>
      <c r="F47" s="40"/>
    </row>
    <row r="48" spans="1:6" x14ac:dyDescent="0.2">
      <c r="A48" s="54" t="s">
        <v>136</v>
      </c>
      <c r="B48" s="40"/>
      <c r="C48" s="56"/>
      <c r="D48" s="60"/>
      <c r="E48" s="56"/>
      <c r="F48" s="40"/>
    </row>
    <row r="49" spans="1:6" x14ac:dyDescent="0.2">
      <c r="A49" s="54" t="s">
        <v>130</v>
      </c>
      <c r="B49" s="40"/>
      <c r="C49" s="56"/>
      <c r="D49" s="60"/>
      <c r="E49" s="56"/>
      <c r="F49" s="40"/>
    </row>
    <row r="50" spans="1:6" x14ac:dyDescent="0.2">
      <c r="A50" s="50"/>
      <c r="C50" s="41"/>
      <c r="D50" s="41"/>
      <c r="E50" s="39"/>
    </row>
    <row r="51" spans="1:6" x14ac:dyDescent="0.2">
      <c r="A51" s="50"/>
      <c r="C51" s="41"/>
      <c r="D51" s="39"/>
      <c r="E51" s="41"/>
    </row>
  </sheetData>
  <mergeCells count="2">
    <mergeCell ref="A1:F1"/>
    <mergeCell ref="A2:F2"/>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Computations</vt:lpstr>
      <vt:lpstr>Figures</vt:lpstr>
      <vt:lpstr>Significance</vt:lpstr>
    </vt:vector>
  </TitlesOfParts>
  <Company>University of Adelaide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Derrick Hasterok</dc:creator>
  <cp:lastModifiedBy>Derrick Hasterok</cp:lastModifiedBy>
  <dcterms:created xsi:type="dcterms:W3CDTF">2017-02-19T22:15:01Z</dcterms:created>
  <dcterms:modified xsi:type="dcterms:W3CDTF">2025-03-04T00:03:51Z</dcterms:modified>
</cp:coreProperties>
</file>