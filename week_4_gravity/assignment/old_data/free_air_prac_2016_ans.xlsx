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722"/>
  <workbookPr autoCompressPictures="0"/>
  <bookViews>
    <workbookView xWindow="0" yWindow="0" windowWidth="18600" windowHeight="12940" tabRatio="242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9" i="1" l="1"/>
  <c r="H8" i="1"/>
  <c r="H6" i="1"/>
  <c r="H5" i="1"/>
  <c r="H4" i="1"/>
  <c r="H3" i="1"/>
  <c r="G6" i="1"/>
  <c r="G5" i="1"/>
  <c r="G4" i="1"/>
  <c r="G3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<sst xmlns="http://schemas.openxmlformats.org/spreadsheetml/2006/main" count="20" uniqueCount="16">
  <si>
    <t>Floor</t>
  </si>
  <si>
    <t>Height change from previous reading</t>
  </si>
  <si>
    <t>Meter #</t>
  </si>
  <si>
    <t>dial counts</t>
  </si>
  <si>
    <t>calibration factor</t>
  </si>
  <si>
    <r>
      <t>g</t>
    </r>
    <r>
      <rPr>
        <b/>
        <i/>
        <vertAlign val="subscript"/>
        <sz val="10"/>
        <rFont val="Arial"/>
        <family val="2"/>
        <charset val="1"/>
      </rPr>
      <t>z</t>
    </r>
  </si>
  <si>
    <r>
      <t>Δ</t>
    </r>
    <r>
      <rPr>
        <b/>
        <i/>
        <sz val="10"/>
        <rFont val="Arial"/>
        <family val="2"/>
        <charset val="1"/>
      </rPr>
      <t>g</t>
    </r>
    <r>
      <rPr>
        <b/>
        <i/>
        <vertAlign val="subscript"/>
        <sz val="10"/>
        <rFont val="Arial"/>
        <family val="2"/>
        <charset val="1"/>
      </rPr>
      <t>z</t>
    </r>
    <r>
      <rPr>
        <b/>
        <sz val="10"/>
        <rFont val="Arial"/>
        <family val="2"/>
        <charset val="1"/>
      </rPr>
      <t xml:space="preserve"> = </t>
    </r>
    <r>
      <rPr>
        <b/>
        <i/>
        <sz val="10"/>
        <rFont val="Arial"/>
        <family val="2"/>
        <charset val="1"/>
      </rPr>
      <t>g</t>
    </r>
    <r>
      <rPr>
        <b/>
        <i/>
        <vertAlign val="subscript"/>
        <sz val="10"/>
        <rFont val="Arial"/>
        <family val="2"/>
        <charset val="1"/>
      </rPr>
      <t>z</t>
    </r>
    <r>
      <rPr>
        <b/>
        <sz val="10"/>
        <rFont val="Arial"/>
        <family val="2"/>
        <charset val="1"/>
      </rPr>
      <t xml:space="preserve"> - </t>
    </r>
    <r>
      <rPr>
        <b/>
        <i/>
        <sz val="10"/>
        <rFont val="Arial"/>
        <family val="2"/>
        <charset val="1"/>
      </rPr>
      <t>g</t>
    </r>
    <r>
      <rPr>
        <b/>
        <i/>
        <vertAlign val="subscript"/>
        <sz val="10"/>
        <rFont val="Arial"/>
        <family val="2"/>
        <charset val="1"/>
      </rPr>
      <t>z</t>
    </r>
    <r>
      <rPr>
        <b/>
        <vertAlign val="subscript"/>
        <sz val="10"/>
        <rFont val="Arial"/>
        <family val="2"/>
        <charset val="1"/>
      </rPr>
      <t>,1</t>
    </r>
  </si>
  <si>
    <r>
      <t>g</t>
    </r>
    <r>
      <rPr>
        <b/>
        <i/>
        <vertAlign val="subscript"/>
        <sz val="10"/>
        <rFont val="Arial"/>
        <family val="2"/>
        <charset val="1"/>
      </rPr>
      <t>fa</t>
    </r>
    <r>
      <rPr>
        <b/>
        <sz val="10"/>
        <rFont val="Arial"/>
        <family val="2"/>
        <charset val="1"/>
      </rPr>
      <t xml:space="preserve"> = Δ</t>
    </r>
    <r>
      <rPr>
        <b/>
        <i/>
        <sz val="10"/>
        <rFont val="Arial"/>
        <family val="2"/>
        <charset val="1"/>
      </rPr>
      <t>g</t>
    </r>
    <r>
      <rPr>
        <b/>
        <i/>
        <vertAlign val="subscript"/>
        <sz val="10"/>
        <rFont val="Arial"/>
        <family val="2"/>
        <charset val="1"/>
      </rPr>
      <t>z</t>
    </r>
    <r>
      <rPr>
        <b/>
        <sz val="10"/>
        <rFont val="Arial"/>
        <family val="2"/>
        <charset val="1"/>
      </rPr>
      <t>/Δ</t>
    </r>
    <r>
      <rPr>
        <b/>
        <i/>
        <sz val="10"/>
        <rFont val="Arial"/>
        <family val="2"/>
        <charset val="1"/>
      </rPr>
      <t>h</t>
    </r>
  </si>
  <si>
    <t>(m)</t>
  </si>
  <si>
    <r>
      <t>(mgal count</t>
    </r>
    <r>
      <rPr>
        <vertAlign val="superscript"/>
        <sz val="12"/>
        <color rgb="FF000000"/>
        <rFont val="Arial"/>
        <family val="2"/>
        <charset val="1"/>
      </rPr>
      <t>-1</t>
    </r>
    <r>
      <rPr>
        <sz val="12"/>
        <color rgb="FF000000"/>
        <rFont val="Arial"/>
        <family val="2"/>
        <charset val="1"/>
      </rPr>
      <t>)</t>
    </r>
  </si>
  <si>
    <t>mgal</t>
  </si>
  <si>
    <t>(mgal)</t>
  </si>
  <si>
    <r>
      <t>(mgal m</t>
    </r>
    <r>
      <rPr>
        <vertAlign val="superscript"/>
        <sz val="12"/>
        <rFont val="Arial"/>
        <family val="2"/>
        <charset val="1"/>
      </rPr>
      <t>-1</t>
    </r>
    <r>
      <rPr>
        <sz val="12"/>
        <rFont val="Arial"/>
        <family val="2"/>
        <charset val="1"/>
      </rPr>
      <t>)</t>
    </r>
  </si>
  <si>
    <t>G37</t>
  </si>
  <si>
    <t>mean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</si>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</sst>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11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i/>
      <sz val="10"/>
      <name val="Arial"/>
      <family val="2"/>
      <charset val="1"/>
    </font>
    <font>
      <b/>
      <i/>
      <vertAlign val="subscript"/>
      <sz val="10"/>
      <name val="Arial"/>
      <family val="2"/>
      <charset val="1"/>
    </font>
    <font>
      <b/>
      <vertAlign val="subscript"/>
      <sz val="10"/>
      <name val="Arial"/>
      <family val="2"/>
      <charset val="1"/>
    </font>
    <font>
      <vertAlign val="superscript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vertAlign val="superscript"/>
      <sz val="12"/>
      <name val="Arial"/>
      <family val="2"/>
      <charset val="1"/>
    </font>
    <font>
      <sz val="12"/>
      <name val="Arial"/>
      <family val="2"/>
      <charset val="1"/>
    </font>
    <font>
      <u/>
      <sz val="10"/>
      <color theme="10"/>
      <name val="Arial"/>
      <family val="2"/>
      <charset val="1"/>
    </font>
    <font>
      <u/>
      <sz val="10"/>
      <color theme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Font="1" applyAlignment="1">
      <alignment horizontal="center"/>
    </xf>
    <xf numFmtId="165" fontId="0" fillId="0" borderId="0" xfId="0" applyNumberFormat="1"/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G10" sqref="G10"/>
    </sheetView>
  </sheetViews>
  <sheetFormatPr baseColWidth="10" defaultColWidth="8.83203125" defaultRowHeight="12" x14ac:dyDescent="0"/>
  <cols>
    <col min="5" max="5" width="11.33203125" customWidth="1"/>
  </cols>
  <sheetData>
    <row r="1" spans="1:8" s="1" customFormat="1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</row>
    <row r="2" spans="1:8" s="3" customFormat="1" ht="15">
      <c r="B2" s="3" t="s">
        <v>8</v>
      </c>
      <c r="E2" s="3" t="s">
        <v>9</v>
      </c>
      <c r="F2" s="3" t="s">
        <v>10</v>
      </c>
      <c r="G2" s="3" t="s">
        <v>11</v>
      </c>
      <c r="H2" s="3" t="s">
        <v>12</v>
      </c>
    </row>
    <row r="3" spans="1:8">
      <c r="A3" s="3">
        <v>0</v>
      </c>
      <c r="B3" s="4">
        <v>0</v>
      </c>
      <c r="C3" s="5" t="s">
        <v>13</v>
      </c>
      <c r="D3" s="4">
        <v>3355.49</v>
      </c>
      <c r="E3">
        <v>1.0481499999999999</v>
      </c>
      <c r="F3">
        <f>E3*D3</f>
        <v>3517.0568434999996</v>
      </c>
      <c r="G3" s="4">
        <f>D4-D3</f>
        <v>-1.6989999999996144</v>
      </c>
      <c r="H3">
        <f>G3/B4</f>
        <v>-0.29394463667813397</v>
      </c>
    </row>
    <row r="4" spans="1:8">
      <c r="A4" s="3">
        <v>1</v>
      </c>
      <c r="B4" s="4">
        <v>5.78</v>
      </c>
      <c r="C4" s="5" t="s">
        <v>13</v>
      </c>
      <c r="D4" s="4">
        <v>3353.7910000000002</v>
      </c>
      <c r="E4">
        <v>1.0481499999999999</v>
      </c>
      <c r="F4">
        <f t="shared" ref="F4:F7" si="0">E4*D4</f>
        <v>3515.2760366499997</v>
      </c>
      <c r="G4" s="4">
        <f t="shared" ref="G4:G6" si="1">D5-D4</f>
        <v>-1.3580000000001746</v>
      </c>
      <c r="H4">
        <f>G4/B5</f>
        <v>-0.31803278688528686</v>
      </c>
    </row>
    <row r="5" spans="1:8">
      <c r="A5" s="3">
        <v>2</v>
      </c>
      <c r="B5" s="4">
        <v>4.2699999999999996</v>
      </c>
      <c r="C5" s="5" t="s">
        <v>13</v>
      </c>
      <c r="D5" s="4">
        <v>3352.433</v>
      </c>
      <c r="E5">
        <v>1.0481499999999999</v>
      </c>
      <c r="F5">
        <f t="shared" si="0"/>
        <v>3513.8526489499995</v>
      </c>
      <c r="G5" s="4">
        <f t="shared" si="1"/>
        <v>-1.1329999999998108</v>
      </c>
      <c r="H5">
        <f>G5/B6</f>
        <v>-0.28539042821153926</v>
      </c>
    </row>
    <row r="6" spans="1:8">
      <c r="A6" s="3">
        <v>3</v>
      </c>
      <c r="B6" s="4">
        <v>3.97</v>
      </c>
      <c r="C6" s="5" t="s">
        <v>13</v>
      </c>
      <c r="D6" s="4">
        <v>3351.3</v>
      </c>
      <c r="E6">
        <v>1.0481499999999999</v>
      </c>
      <c r="F6">
        <f t="shared" si="0"/>
        <v>3512.6650949999998</v>
      </c>
      <c r="G6" s="4">
        <f t="shared" si="1"/>
        <v>-1.1100000000001273</v>
      </c>
      <c r="H6">
        <f>G6/B7</f>
        <v>-0.27959697733000688</v>
      </c>
    </row>
    <row r="7" spans="1:8">
      <c r="A7" s="3">
        <v>4</v>
      </c>
      <c r="B7" s="4">
        <v>3.97</v>
      </c>
      <c r="C7" s="5" t="s">
        <v>13</v>
      </c>
      <c r="D7" s="4">
        <v>3350.19</v>
      </c>
      <c r="E7">
        <v>1.0481499999999999</v>
      </c>
      <c r="F7">
        <f t="shared" si="0"/>
        <v>3511.5016484999996</v>
      </c>
    </row>
    <row r="8" spans="1:8">
      <c r="G8" t="s">
        <v>14</v>
      </c>
      <c r="H8" s="6">
        <f>AVERAGE(H3:H6)</f>
        <v>-0.2942412072762417</v>
      </c>
    </row>
    <row r="9" spans="1:8">
      <c r="G9" t="s">
        <v>15</v>
      </c>
      <c r="H9" s="6">
        <f>STDEV(H3:H6)</f>
        <v>1.6920569091922518E-2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4294967292" verticalDpi="4294967292"/>
  <headerFooter>
    <oddHeader>&amp;C&amp;"Times New Roman,Regular"&amp;12&amp;A</oddHeader>
    <oddFooter>&amp;C&amp;"Times New Roman,Regular"&amp;12Page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Derrick Hasterok</cp:lastModifiedBy>
  <cp:revision>0</cp:revision>
  <dcterms:created xsi:type="dcterms:W3CDTF">2015-03-12T15:43:25Z</dcterms:created>
  <dcterms:modified xsi:type="dcterms:W3CDTF">2016-03-27T23:55:59Z</dcterms:modified>
</cp:coreProperties>
</file>