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BdIoJgq/6FT04/8vilzJAR1FzXQ=="/>
    </ext>
  </extLst>
</workbook>
</file>

<file path=xl/sharedStrings.xml><?xml version="1.0" encoding="utf-8"?>
<sst xmlns="http://schemas.openxmlformats.org/spreadsheetml/2006/main" count="34" uniqueCount="15">
  <si>
    <t>Floor</t>
  </si>
  <si>
    <t>Height change from previous reading</t>
  </si>
  <si>
    <t>Meter #</t>
  </si>
  <si>
    <t>dial counts</t>
  </si>
  <si>
    <t>calibration factor</t>
  </si>
  <si>
    <r>
      <rPr>
        <rFont val="Arial"/>
        <b/>
        <i/>
        <color theme="1"/>
        <sz val="10.0"/>
      </rPr>
      <t>g</t>
    </r>
    <r>
      <rPr>
        <rFont val="Arial"/>
        <b/>
        <i/>
        <color theme="1"/>
        <sz val="10.0"/>
        <vertAlign val="subscript"/>
      </rPr>
      <t>z</t>
    </r>
  </si>
  <si>
    <r>
      <rPr>
        <rFont val="Arial"/>
        <b/>
        <color theme="1"/>
        <sz val="10.0"/>
      </rPr>
      <t>Δ</t>
    </r>
    <r>
      <rPr>
        <rFont val="Arial"/>
        <b/>
        <i/>
        <color theme="1"/>
        <sz val="10.0"/>
      </rPr>
      <t>g</t>
    </r>
    <r>
      <rPr>
        <rFont val="Arial"/>
        <b/>
        <i/>
        <color theme="1"/>
        <sz val="10.0"/>
        <vertAlign val="subscript"/>
      </rPr>
      <t>z</t>
    </r>
    <r>
      <rPr>
        <rFont val="Arial"/>
        <b/>
        <color theme="1"/>
        <sz val="10.0"/>
      </rPr>
      <t xml:space="preserve"> = </t>
    </r>
    <r>
      <rPr>
        <rFont val="Arial"/>
        <b/>
        <i/>
        <color theme="1"/>
        <sz val="10.0"/>
      </rPr>
      <t>g</t>
    </r>
    <r>
      <rPr>
        <rFont val="Arial"/>
        <b/>
        <i/>
        <color theme="1"/>
        <sz val="10.0"/>
        <vertAlign val="subscript"/>
      </rPr>
      <t>z</t>
    </r>
    <r>
      <rPr>
        <rFont val="Arial"/>
        <b/>
        <color theme="1"/>
        <sz val="10.0"/>
      </rPr>
      <t xml:space="preserve"> - </t>
    </r>
    <r>
      <rPr>
        <rFont val="Arial"/>
        <b/>
        <i/>
        <color theme="1"/>
        <sz val="10.0"/>
      </rPr>
      <t>g</t>
    </r>
    <r>
      <rPr>
        <rFont val="Arial"/>
        <b/>
        <i/>
        <color theme="1"/>
        <sz val="10.0"/>
        <vertAlign val="subscript"/>
      </rPr>
      <t>z</t>
    </r>
    <r>
      <rPr>
        <rFont val="Arial"/>
        <b/>
        <color theme="1"/>
        <sz val="10.0"/>
        <vertAlign val="subscript"/>
      </rPr>
      <t>,1</t>
    </r>
  </si>
  <si>
    <r>
      <rPr>
        <rFont val="Arial"/>
        <b/>
        <i/>
        <color theme="1"/>
        <sz val="10.0"/>
      </rPr>
      <t>g</t>
    </r>
    <r>
      <rPr>
        <rFont val="Arial"/>
        <b/>
        <i/>
        <color theme="1"/>
        <sz val="10.0"/>
        <vertAlign val="subscript"/>
      </rPr>
      <t>fa</t>
    </r>
    <r>
      <rPr>
        <rFont val="Arial"/>
        <b/>
        <i val="0"/>
        <color theme="1"/>
        <sz val="10.0"/>
      </rPr>
      <t xml:space="preserve"> = Δ</t>
    </r>
    <r>
      <rPr>
        <rFont val="Arial"/>
        <b/>
        <i/>
        <color theme="1"/>
        <sz val="10.0"/>
      </rPr>
      <t>g</t>
    </r>
    <r>
      <rPr>
        <rFont val="Arial"/>
        <b/>
        <i/>
        <color theme="1"/>
        <sz val="10.0"/>
        <vertAlign val="subscript"/>
      </rPr>
      <t>z</t>
    </r>
    <r>
      <rPr>
        <rFont val="Arial"/>
        <b/>
        <i val="0"/>
        <color theme="1"/>
        <sz val="10.0"/>
      </rPr>
      <t>/Δ</t>
    </r>
    <r>
      <rPr>
        <rFont val="Arial"/>
        <b/>
        <i/>
        <color theme="1"/>
        <sz val="10.0"/>
      </rPr>
      <t>h</t>
    </r>
  </si>
  <si>
    <t>(m)</t>
  </si>
  <si>
    <r>
      <rPr>
        <rFont val="Arial"/>
        <color theme="1"/>
        <sz val="10.0"/>
      </rPr>
      <t>(mgal count</t>
    </r>
    <r>
      <rPr>
        <rFont val="Arial"/>
        <color rgb="FF000000"/>
        <sz val="12.0"/>
        <vertAlign val="superscript"/>
      </rPr>
      <t>-1</t>
    </r>
    <r>
      <rPr>
        <rFont val="Arial"/>
        <color rgb="FF000000"/>
        <sz val="12.0"/>
      </rPr>
      <t>)</t>
    </r>
  </si>
  <si>
    <t>mgal</t>
  </si>
  <si>
    <t>(mgal)</t>
  </si>
  <si>
    <r>
      <rPr>
        <rFont val="Arial"/>
        <color theme="1"/>
        <sz val="10.0"/>
      </rPr>
      <t>(mgal m</t>
    </r>
    <r>
      <rPr>
        <rFont val="Arial"/>
        <color theme="1"/>
        <sz val="12.0"/>
        <vertAlign val="superscript"/>
      </rPr>
      <t>-1</t>
    </r>
    <r>
      <rPr>
        <rFont val="Arial"/>
        <color theme="1"/>
        <sz val="12.0"/>
      </rPr>
      <t>)</t>
    </r>
  </si>
  <si>
    <t>G363</t>
  </si>
  <si>
    <t>G37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</si>
</sst>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sz val="10.0"/>
      <color theme="1"/>
      <name val="Arial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1.57"/>
    <col customWidth="1" min="9" max="26" width="8.71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3"/>
      <c r="B2" s="3" t="s">
        <v>8</v>
      </c>
      <c r="C2" s="3"/>
      <c r="D2" s="3"/>
      <c r="E2" s="3" t="s">
        <v>9</v>
      </c>
      <c r="F2" s="3" t="s">
        <v>10</v>
      </c>
      <c r="G2" s="3" t="s">
        <v>11</v>
      </c>
      <c r="H2" s="3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>
        <v>0.0</v>
      </c>
      <c r="B3" s="4">
        <v>0.0</v>
      </c>
      <c r="C3" s="3" t="s">
        <v>13</v>
      </c>
      <c r="D3" s="5">
        <v>3363.537</v>
      </c>
      <c r="E3" s="5">
        <v>1.04849</v>
      </c>
      <c r="F3" s="4">
        <f t="shared" ref="F3:F12" si="1">E3*D3</f>
        <v>3526.634909</v>
      </c>
    </row>
    <row r="4" ht="12.0" customHeight="1">
      <c r="A4" s="3">
        <v>1.0</v>
      </c>
      <c r="B4" s="4">
        <v>5.8</v>
      </c>
      <c r="C4" s="3" t="s">
        <v>13</v>
      </c>
      <c r="D4" s="5">
        <v>3355.278</v>
      </c>
      <c r="E4" s="5">
        <v>1.04849</v>
      </c>
      <c r="F4" s="4">
        <f t="shared" si="1"/>
        <v>3517.97543</v>
      </c>
      <c r="G4" s="4">
        <f t="shared" ref="G4:G12" si="2">F4-F3</f>
        <v>-8.65947891</v>
      </c>
      <c r="H4" s="4">
        <f t="shared" ref="H4:H12" si="3">G4/B4</f>
        <v>-1.493013605</v>
      </c>
    </row>
    <row r="5" ht="12.0" customHeight="1">
      <c r="A5" s="3">
        <v>2.0</v>
      </c>
      <c r="B5" s="4">
        <v>4.3</v>
      </c>
      <c r="C5" s="3" t="s">
        <v>13</v>
      </c>
      <c r="D5" s="5">
        <v>3356.148</v>
      </c>
      <c r="E5" s="5">
        <v>1.04849</v>
      </c>
      <c r="F5" s="4">
        <f t="shared" si="1"/>
        <v>3518.887617</v>
      </c>
      <c r="G5" s="4">
        <f t="shared" si="2"/>
        <v>0.9121863</v>
      </c>
      <c r="H5" s="4">
        <f t="shared" si="3"/>
        <v>0.2121363488</v>
      </c>
    </row>
    <row r="6" ht="12.0" customHeight="1">
      <c r="A6" s="3">
        <v>3.0</v>
      </c>
      <c r="B6" s="4">
        <v>4.005</v>
      </c>
      <c r="C6" s="3" t="s">
        <v>13</v>
      </c>
      <c r="D6" s="5">
        <v>3354.623</v>
      </c>
      <c r="E6" s="5">
        <v>1.04849</v>
      </c>
      <c r="F6" s="4">
        <f t="shared" si="1"/>
        <v>3517.288669</v>
      </c>
      <c r="G6" s="4">
        <f t="shared" si="2"/>
        <v>-1.59894725</v>
      </c>
      <c r="H6" s="4">
        <f t="shared" si="3"/>
        <v>-0.3992377653</v>
      </c>
    </row>
    <row r="7" ht="12.0" customHeight="1">
      <c r="A7" s="3">
        <v>4.0</v>
      </c>
      <c r="B7" s="4">
        <v>3.995</v>
      </c>
      <c r="C7" s="3" t="s">
        <v>13</v>
      </c>
      <c r="D7" s="5">
        <v>3353.464</v>
      </c>
      <c r="E7" s="5">
        <v>1.04849</v>
      </c>
      <c r="F7" s="4">
        <f t="shared" si="1"/>
        <v>3516.073469</v>
      </c>
      <c r="G7" s="4">
        <f t="shared" si="2"/>
        <v>-1.21519991</v>
      </c>
      <c r="H7" s="4">
        <f t="shared" si="3"/>
        <v>-0.3041802028</v>
      </c>
    </row>
    <row r="8" ht="12.0" customHeight="1">
      <c r="A8" s="3">
        <v>0.0</v>
      </c>
      <c r="B8" s="4">
        <f>-SUM(B4:B7)</f>
        <v>-18.1</v>
      </c>
      <c r="C8" s="3" t="s">
        <v>13</v>
      </c>
      <c r="D8" s="5">
        <v>3363.675</v>
      </c>
      <c r="E8" s="5">
        <v>1.04849</v>
      </c>
      <c r="F8" s="4">
        <f t="shared" si="1"/>
        <v>3526.779601</v>
      </c>
      <c r="G8" s="4">
        <f t="shared" si="2"/>
        <v>10.70613139</v>
      </c>
      <c r="H8" s="4">
        <f t="shared" si="3"/>
        <v>-0.5914989718</v>
      </c>
    </row>
    <row r="9" ht="12.0" customHeight="1">
      <c r="A9" s="3">
        <v>1.0</v>
      </c>
      <c r="B9" s="4">
        <v>5.8</v>
      </c>
      <c r="C9" s="3" t="s">
        <v>13</v>
      </c>
      <c r="D9" s="5">
        <v>3357.393</v>
      </c>
      <c r="E9" s="5">
        <v>1.04849</v>
      </c>
      <c r="F9" s="4">
        <f t="shared" si="1"/>
        <v>3520.192987</v>
      </c>
      <c r="G9" s="4">
        <f t="shared" si="2"/>
        <v>-6.58661418</v>
      </c>
      <c r="H9" s="4">
        <f t="shared" si="3"/>
        <v>-1.135623134</v>
      </c>
    </row>
    <row r="10" ht="12.0" customHeight="1">
      <c r="A10" s="3">
        <v>2.0</v>
      </c>
      <c r="B10" s="4">
        <v>4.3</v>
      </c>
      <c r="C10" s="3" t="s">
        <v>13</v>
      </c>
      <c r="D10" s="5">
        <v>3355.467</v>
      </c>
      <c r="E10" s="5">
        <v>1.04849</v>
      </c>
      <c r="F10" s="4">
        <f t="shared" si="1"/>
        <v>3518.173595</v>
      </c>
      <c r="G10" s="4">
        <f t="shared" si="2"/>
        <v>-2.01939174</v>
      </c>
      <c r="H10" s="4">
        <f t="shared" si="3"/>
        <v>-0.469625986</v>
      </c>
    </row>
    <row r="11" ht="12.0" customHeight="1">
      <c r="A11" s="3">
        <v>3.0</v>
      </c>
      <c r="B11" s="4">
        <v>4.005</v>
      </c>
      <c r="C11" s="3" t="s">
        <v>13</v>
      </c>
      <c r="D11" s="5">
        <v>3354.419</v>
      </c>
      <c r="E11" s="5">
        <v>1.04849</v>
      </c>
      <c r="F11" s="4">
        <f t="shared" si="1"/>
        <v>3517.074777</v>
      </c>
      <c r="G11" s="4">
        <f t="shared" si="2"/>
        <v>-1.09881752</v>
      </c>
      <c r="H11" s="4">
        <f t="shared" si="3"/>
        <v>-0.2743614282</v>
      </c>
    </row>
    <row r="12" ht="12.0" customHeight="1">
      <c r="A12" s="3">
        <v>4.0</v>
      </c>
      <c r="B12" s="4">
        <v>3.995</v>
      </c>
      <c r="C12" s="3" t="s">
        <v>13</v>
      </c>
      <c r="D12" s="5">
        <v>3352.723</v>
      </c>
      <c r="E12" s="5">
        <v>1.04849</v>
      </c>
      <c r="F12" s="4">
        <f t="shared" si="1"/>
        <v>3515.296538</v>
      </c>
      <c r="G12" s="4">
        <f t="shared" si="2"/>
        <v>-1.77823904</v>
      </c>
      <c r="H12" s="4">
        <f t="shared" si="3"/>
        <v>-0.4451161552</v>
      </c>
    </row>
    <row r="13" ht="12.0" customHeight="1">
      <c r="A13" s="3"/>
      <c r="B13" s="4"/>
      <c r="C13" s="3"/>
      <c r="F13" s="4"/>
      <c r="H13" s="4">
        <f>AVERAGE(H4:H12)</f>
        <v>-0.5445023222</v>
      </c>
    </row>
    <row r="14" ht="12.0" customHeight="1">
      <c r="A14" s="3"/>
      <c r="B14" s="4"/>
      <c r="C14" s="3"/>
      <c r="F14" s="4"/>
      <c r="H14" s="4">
        <f>STDEV(H4:H12)</f>
        <v>0.4988893819</v>
      </c>
    </row>
    <row r="15" ht="12.0" customHeight="1">
      <c r="A15" s="3"/>
      <c r="B15" s="4"/>
      <c r="C15" s="3"/>
    </row>
    <row r="16" ht="12.0" customHeight="1">
      <c r="A16" s="3">
        <v>0.0</v>
      </c>
      <c r="B16" s="4">
        <v>0.0</v>
      </c>
      <c r="C16" s="3" t="s">
        <v>14</v>
      </c>
      <c r="D16" s="5">
        <v>3357.499</v>
      </c>
      <c r="E16" s="5">
        <v>1.04815</v>
      </c>
      <c r="F16" s="4">
        <f t="shared" ref="F16:F25" si="4">E16*D16</f>
        <v>3519.162577</v>
      </c>
    </row>
    <row r="17" ht="12.0" customHeight="1">
      <c r="A17" s="3">
        <v>1.0</v>
      </c>
      <c r="B17" s="4">
        <v>5.8</v>
      </c>
      <c r="C17" s="3" t="s">
        <v>14</v>
      </c>
      <c r="D17" s="5">
        <v>3354.224</v>
      </c>
      <c r="E17" s="5">
        <v>1.04815</v>
      </c>
      <c r="F17" s="4">
        <f t="shared" si="4"/>
        <v>3515.729886</v>
      </c>
      <c r="G17" s="4">
        <f t="shared" ref="G17:G25" si="5">F17-F16</f>
        <v>-3.43269125</v>
      </c>
      <c r="H17" s="4">
        <f t="shared" ref="H17:H25" si="6">G17/B17</f>
        <v>-0.591843319</v>
      </c>
    </row>
    <row r="18" ht="12.0" customHeight="1">
      <c r="A18" s="3">
        <v>2.0</v>
      </c>
      <c r="B18" s="4">
        <v>4.3</v>
      </c>
      <c r="C18" s="3" t="s">
        <v>14</v>
      </c>
      <c r="D18" s="5">
        <v>3352.402</v>
      </c>
      <c r="E18" s="5">
        <v>1.04815</v>
      </c>
      <c r="F18" s="4">
        <f t="shared" si="4"/>
        <v>3513.820156</v>
      </c>
      <c r="G18" s="4">
        <f t="shared" si="5"/>
        <v>-1.9097293</v>
      </c>
      <c r="H18" s="4">
        <f t="shared" si="6"/>
        <v>-0.444123093</v>
      </c>
    </row>
    <row r="19" ht="12.0" customHeight="1">
      <c r="A19" s="3">
        <v>3.0</v>
      </c>
      <c r="B19" s="4">
        <v>4.005</v>
      </c>
      <c r="C19" s="3" t="s">
        <v>14</v>
      </c>
      <c r="D19" s="4">
        <v>3351.09</v>
      </c>
      <c r="E19" s="5">
        <v>1.04815</v>
      </c>
      <c r="F19" s="4">
        <f t="shared" si="4"/>
        <v>3512.444984</v>
      </c>
      <c r="G19" s="4">
        <f t="shared" si="5"/>
        <v>-1.3751728</v>
      </c>
      <c r="H19" s="4">
        <f t="shared" si="6"/>
        <v>-0.343363995</v>
      </c>
    </row>
    <row r="20" ht="12.0" customHeight="1">
      <c r="A20" s="3">
        <v>4.0</v>
      </c>
      <c r="B20" s="4">
        <v>3.995</v>
      </c>
      <c r="C20" s="3" t="s">
        <v>14</v>
      </c>
      <c r="D20" s="4">
        <v>3350.01</v>
      </c>
      <c r="E20" s="5">
        <v>1.04815</v>
      </c>
      <c r="F20" s="4">
        <f t="shared" si="4"/>
        <v>3511.312982</v>
      </c>
      <c r="G20" s="4">
        <f t="shared" si="5"/>
        <v>-1.132002</v>
      </c>
      <c r="H20" s="4">
        <f t="shared" si="6"/>
        <v>-0.2833546934</v>
      </c>
    </row>
    <row r="21" ht="12.0" customHeight="1">
      <c r="A21" s="3">
        <v>0.0</v>
      </c>
      <c r="B21" s="4">
        <f>-SUM(B17:B20)</f>
        <v>-18.1</v>
      </c>
      <c r="C21" s="3" t="s">
        <v>14</v>
      </c>
      <c r="D21" s="5">
        <v>3355.155</v>
      </c>
      <c r="E21" s="5">
        <v>1.04815</v>
      </c>
      <c r="F21" s="4">
        <f t="shared" si="4"/>
        <v>3516.705713</v>
      </c>
      <c r="G21" s="4">
        <f t="shared" si="5"/>
        <v>5.39273175</v>
      </c>
      <c r="H21" s="4">
        <f t="shared" si="6"/>
        <v>-0.2979409807</v>
      </c>
    </row>
    <row r="22" ht="12.0" customHeight="1">
      <c r="A22" s="3">
        <v>1.0</v>
      </c>
      <c r="B22" s="4">
        <v>5.8</v>
      </c>
      <c r="C22" s="3" t="s">
        <v>14</v>
      </c>
      <c r="D22" s="5">
        <v>3353.566</v>
      </c>
      <c r="E22" s="5">
        <v>1.04815</v>
      </c>
      <c r="F22" s="4">
        <f t="shared" si="4"/>
        <v>3515.040203</v>
      </c>
      <c r="G22" s="4">
        <f t="shared" si="5"/>
        <v>-1.66551035</v>
      </c>
      <c r="H22" s="4">
        <f t="shared" si="6"/>
        <v>-0.2871569569</v>
      </c>
    </row>
    <row r="23" ht="12.0" customHeight="1">
      <c r="A23" s="3">
        <v>2.0</v>
      </c>
      <c r="B23" s="4">
        <v>4.3</v>
      </c>
      <c r="C23" s="3" t="s">
        <v>14</v>
      </c>
      <c r="D23" s="5">
        <v>3352.272</v>
      </c>
      <c r="E23" s="5">
        <v>1.04815</v>
      </c>
      <c r="F23" s="4">
        <f t="shared" si="4"/>
        <v>3513.683897</v>
      </c>
      <c r="G23" s="4">
        <f t="shared" si="5"/>
        <v>-1.3563061</v>
      </c>
      <c r="H23" s="4">
        <f t="shared" si="6"/>
        <v>-0.3154200233</v>
      </c>
    </row>
    <row r="24" ht="12.0" customHeight="1">
      <c r="A24" s="3">
        <v>3.0</v>
      </c>
      <c r="B24" s="4">
        <v>4.005</v>
      </c>
      <c r="C24" s="3" t="s">
        <v>14</v>
      </c>
      <c r="D24" s="5">
        <v>3351.174</v>
      </c>
      <c r="E24" s="5">
        <v>1.04815</v>
      </c>
      <c r="F24" s="4">
        <f t="shared" si="4"/>
        <v>3512.533028</v>
      </c>
      <c r="G24" s="4">
        <f t="shared" si="5"/>
        <v>-1.1508687</v>
      </c>
      <c r="H24" s="4">
        <f t="shared" si="6"/>
        <v>-0.2873579775</v>
      </c>
    </row>
    <row r="25" ht="12.0" customHeight="1">
      <c r="A25" s="3">
        <v>4.0</v>
      </c>
      <c r="B25" s="4">
        <v>3.995</v>
      </c>
      <c r="C25" s="3" t="s">
        <v>14</v>
      </c>
      <c r="D25" s="5">
        <v>3350.028</v>
      </c>
      <c r="E25" s="5">
        <v>1.04815</v>
      </c>
      <c r="F25" s="4">
        <f t="shared" si="4"/>
        <v>3511.331848</v>
      </c>
      <c r="G25" s="4">
        <f t="shared" si="5"/>
        <v>-1.2011799</v>
      </c>
      <c r="H25" s="4">
        <f t="shared" si="6"/>
        <v>-0.3006708135</v>
      </c>
    </row>
    <row r="26" ht="12.0" customHeight="1">
      <c r="H26" s="4">
        <f>AVERAGE(H19:H25)</f>
        <v>-0.3021807772</v>
      </c>
    </row>
    <row r="27" ht="12.0" customHeight="1">
      <c r="H27" s="4">
        <f>STDEV(H19:H25)</f>
        <v>0.02117956141</v>
      </c>
    </row>
    <row r="28" ht="12.0" customHeight="1">
      <c r="A28" s="6">
        <v>0.0</v>
      </c>
      <c r="B28" s="6">
        <v>0.0</v>
      </c>
      <c r="C28" s="6" t="s">
        <v>14</v>
      </c>
      <c r="D28" s="6">
        <v>3346.633</v>
      </c>
    </row>
    <row r="29" ht="12.0" customHeight="1">
      <c r="A29" s="6">
        <v>1.0</v>
      </c>
      <c r="B29" s="6">
        <v>5.75</v>
      </c>
      <c r="D29" s="6">
        <v>3348.15</v>
      </c>
    </row>
    <row r="30" ht="12.0" customHeight="1">
      <c r="A30" s="6">
        <v>2.0</v>
      </c>
      <c r="B30" s="7">
        <v>4.35</v>
      </c>
      <c r="D30" s="6">
        <v>3343.671</v>
      </c>
    </row>
    <row r="31" ht="12.0" customHeight="1">
      <c r="A31" s="6">
        <v>3.0</v>
      </c>
      <c r="B31" s="6">
        <v>4.1</v>
      </c>
      <c r="D31" s="6">
        <v>3342.374</v>
      </c>
    </row>
    <row r="32" ht="12.0" customHeight="1">
      <c r="B32" s="6">
        <v>4.1</v>
      </c>
      <c r="D32" s="6">
        <v>3341.416</v>
      </c>
    </row>
    <row r="33" ht="12.0" customHeight="1">
      <c r="D33" s="7">
        <v>3344.92</v>
      </c>
    </row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2015-03-12T15:43:25Z</dcterms:created>
</cp:coreProperties>
</file>