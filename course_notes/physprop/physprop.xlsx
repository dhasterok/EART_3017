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showInkAnnotation="0" autoCompressPictures="0"/>
  <bookViews>
    <workbookView xWindow="1640" yWindow="0" windowWidth="25360" windowHeight="17300" tabRatio="500"/>
  </bookViews>
  <sheets>
    <sheet name="Sheet1" sheetId="1" r:id="rId1"/>
    <sheet name="quartz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" i="2"/>
  <c r="A23" i="2"/>
  <c r="A24" i="2"/>
  <c r="A25" i="2"/>
  <c r="A26" i="2"/>
  <c r="A27" i="2"/>
  <c r="A20" i="2"/>
  <c r="A21" i="2"/>
  <c r="A2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U11" i="1"/>
  <c r="S11" i="1"/>
  <c r="R11" i="1"/>
  <c r="U8" i="1"/>
  <c r="S18" i="1"/>
  <c r="P10" i="1"/>
  <c r="U10" i="1"/>
  <c r="S10" i="1"/>
  <c r="R10" i="1"/>
  <c r="U9" i="1"/>
  <c r="S9" i="1"/>
  <c r="R9" i="1"/>
  <c r="U13" i="1"/>
  <c r="S13" i="1"/>
  <c r="R13" i="1"/>
  <c r="U12" i="1"/>
  <c r="R12" i="1"/>
  <c r="U15" i="1"/>
  <c r="R15" i="1"/>
  <c r="U14" i="1"/>
  <c r="R14" i="1"/>
  <c r="U5" i="1"/>
  <c r="S5" i="1"/>
  <c r="R5" i="1"/>
  <c r="U7" i="1"/>
  <c r="U6" i="1"/>
  <c r="S4" i="1"/>
  <c r="S6" i="1"/>
  <c r="U4" i="1"/>
  <c r="R4" i="1"/>
</calcChain>
</file>

<file path=xl/sharedStrings.xml><?xml version="1.0" encoding="utf-8"?>
<sst xmlns="http://schemas.openxmlformats.org/spreadsheetml/2006/main" count="91" uniqueCount="83">
  <si>
    <t>gram
formula
weight
(g/mol)</t>
  </si>
  <si>
    <t xml:space="preserve">wt%
H2O
</t>
  </si>
  <si>
    <t>first
Grüneisen
parameter</t>
  </si>
  <si>
    <t>second
Grüneisen
parameter</t>
  </si>
  <si>
    <t>phase</t>
  </si>
  <si>
    <t>G</t>
  </si>
  <si>
    <t>orthoclase</t>
  </si>
  <si>
    <t>albite</t>
  </si>
  <si>
    <t>anorthite</t>
  </si>
  <si>
    <t>phlogopite</t>
  </si>
  <si>
    <t>almandine</t>
  </si>
  <si>
    <t>pyrope</t>
  </si>
  <si>
    <t>ferrosilite</t>
  </si>
  <si>
    <t>diopside</t>
  </si>
  <si>
    <t>hedenbergite</t>
  </si>
  <si>
    <t>enstatite</t>
  </si>
  <si>
    <t>fayalite</t>
  </si>
  <si>
    <t>shear
modulus
(GPa)</t>
  </si>
  <si>
    <t>isothermal
bulk
modulus
(GPa)</t>
  </si>
  <si>
    <t>annite</t>
  </si>
  <si>
    <t>muscovite</t>
  </si>
  <si>
    <t>hornblende</t>
  </si>
  <si>
    <r>
      <rPr>
        <b/>
        <sz val="12"/>
        <color indexed="8"/>
        <rFont val="Symbol"/>
      </rPr>
      <t>g</t>
    </r>
    <r>
      <rPr>
        <b/>
        <vertAlign val="subscript"/>
        <sz val="12"/>
        <color indexed="8"/>
        <rFont val="Arial"/>
      </rPr>
      <t>th</t>
    </r>
  </si>
  <si>
    <r>
      <rPr>
        <b/>
        <sz val="12"/>
        <color indexed="8"/>
        <rFont val="Symbol"/>
      </rPr>
      <t>d</t>
    </r>
    <r>
      <rPr>
        <b/>
        <vertAlign val="subscript"/>
        <sz val="12"/>
        <color indexed="8"/>
        <rFont val="Arial"/>
      </rPr>
      <t>T</t>
    </r>
  </si>
  <si>
    <r>
      <rPr>
        <b/>
        <sz val="12"/>
        <color indexed="8"/>
        <rFont val="Symbol"/>
      </rPr>
      <t>m</t>
    </r>
    <r>
      <rPr>
        <b/>
        <sz val="12"/>
        <color indexed="8"/>
        <rFont val="Arial"/>
      </rPr>
      <t>'</t>
    </r>
  </si>
  <si>
    <t>m</t>
  </si>
  <si>
    <r>
      <t>K</t>
    </r>
    <r>
      <rPr>
        <b/>
        <vertAlign val="subscript"/>
        <sz val="12"/>
        <color indexed="8"/>
        <rFont val="Arial"/>
      </rPr>
      <t>T</t>
    </r>
  </si>
  <si>
    <r>
      <t>K</t>
    </r>
    <r>
      <rPr>
        <b/>
        <vertAlign val="subscript"/>
        <sz val="12"/>
        <color indexed="8"/>
        <rFont val="Arial"/>
      </rPr>
      <t>T</t>
    </r>
    <r>
      <rPr>
        <b/>
        <sz val="12"/>
        <color indexed="8"/>
        <rFont val="Arial"/>
      </rPr>
      <t>'</t>
    </r>
  </si>
  <si>
    <r>
      <rPr>
        <b/>
        <sz val="12"/>
        <color indexed="8"/>
        <rFont val="Symbol"/>
      </rPr>
      <t>a</t>
    </r>
    <r>
      <rPr>
        <b/>
        <sz val="12"/>
        <color indexed="8"/>
        <rFont val="Arial"/>
      </rPr>
      <t>-quartz</t>
    </r>
  </si>
  <si>
    <r>
      <rPr>
        <b/>
        <sz val="12"/>
        <color indexed="8"/>
        <rFont val="Symbol"/>
      </rPr>
      <t>b</t>
    </r>
    <r>
      <rPr>
        <b/>
        <sz val="12"/>
        <color indexed="8"/>
        <rFont val="Arial"/>
      </rPr>
      <t>-quartz</t>
    </r>
  </si>
  <si>
    <r>
      <t>r</t>
    </r>
    <r>
      <rPr>
        <b/>
        <vertAlign val="subscript"/>
        <sz val="12"/>
        <color indexed="8"/>
        <rFont val="Arial"/>
      </rPr>
      <t>298</t>
    </r>
  </si>
  <si>
    <r>
      <t>a</t>
    </r>
    <r>
      <rPr>
        <b/>
        <vertAlign val="subscript"/>
        <sz val="12"/>
        <color theme="1"/>
        <rFont val="Arial"/>
      </rPr>
      <t>0</t>
    </r>
    <r>
      <rPr>
        <b/>
        <sz val="12"/>
        <color theme="1"/>
        <rFont val="Arial"/>
      </rPr>
      <t xml:space="preserve"> x 10</t>
    </r>
    <r>
      <rPr>
        <b/>
        <vertAlign val="superscript"/>
        <sz val="12"/>
        <color theme="1"/>
        <rFont val="Arial"/>
      </rPr>
      <t>5</t>
    </r>
  </si>
  <si>
    <r>
      <t>a</t>
    </r>
    <r>
      <rPr>
        <b/>
        <vertAlign val="subscript"/>
        <sz val="12"/>
        <color theme="1"/>
        <rFont val="Arial"/>
      </rPr>
      <t>1</t>
    </r>
    <r>
      <rPr>
        <b/>
        <sz val="12"/>
        <color theme="1"/>
        <rFont val="Arial"/>
      </rPr>
      <t xml:space="preserve"> x 10</t>
    </r>
    <r>
      <rPr>
        <b/>
        <vertAlign val="superscript"/>
        <sz val="12"/>
        <color theme="1"/>
        <rFont val="Arial"/>
      </rPr>
      <t>8</t>
    </r>
  </si>
  <si>
    <r>
      <t>a</t>
    </r>
    <r>
      <rPr>
        <b/>
        <vertAlign val="subscript"/>
        <sz val="12"/>
        <color theme="1"/>
        <rFont val="Arial"/>
      </rPr>
      <t>2</t>
    </r>
  </si>
  <si>
    <r>
      <t>c</t>
    </r>
    <r>
      <rPr>
        <b/>
        <vertAlign val="subscript"/>
        <sz val="12"/>
        <color theme="1"/>
        <rFont val="Arial"/>
      </rPr>
      <t>0</t>
    </r>
  </si>
  <si>
    <r>
      <t>c</t>
    </r>
    <r>
      <rPr>
        <b/>
        <vertAlign val="subscript"/>
        <sz val="12"/>
        <color theme="1"/>
        <rFont val="Arial"/>
      </rPr>
      <t>1</t>
    </r>
  </si>
  <si>
    <r>
      <t>density
@298K
(kg/m</t>
    </r>
    <r>
      <rPr>
        <b/>
        <vertAlign val="superscript"/>
        <sz val="12"/>
        <color indexed="8"/>
        <rFont val="Arial"/>
      </rPr>
      <t>3</t>
    </r>
    <r>
      <rPr>
        <b/>
        <sz val="12"/>
        <color indexed="8"/>
        <rFont val="Arial"/>
      </rPr>
      <t>)</t>
    </r>
  </si>
  <si>
    <r>
      <t>molar
volume
(cm</t>
    </r>
    <r>
      <rPr>
        <b/>
        <vertAlign val="superscript"/>
        <sz val="12"/>
        <color indexed="8"/>
        <rFont val="Arial"/>
      </rPr>
      <t>3</t>
    </r>
    <r>
      <rPr>
        <b/>
        <sz val="12"/>
        <color indexed="8"/>
        <rFont val="Arial"/>
      </rPr>
      <t>/mol)</t>
    </r>
  </si>
  <si>
    <r>
      <t>dK</t>
    </r>
    <r>
      <rPr>
        <b/>
        <vertAlign val="subscript"/>
        <sz val="12"/>
        <color indexed="8"/>
        <rFont val="Arial"/>
      </rPr>
      <t>T</t>
    </r>
    <r>
      <rPr>
        <b/>
        <sz val="12"/>
        <color indexed="8"/>
        <rFont val="Arial"/>
      </rPr>
      <t>/dP</t>
    </r>
  </si>
  <si>
    <r>
      <t>dln</t>
    </r>
    <r>
      <rPr>
        <b/>
        <sz val="12"/>
        <color indexed="8"/>
        <rFont val="Symbol"/>
      </rPr>
      <t>m</t>
    </r>
    <r>
      <rPr>
        <b/>
        <sz val="12"/>
        <color indexed="8"/>
        <rFont val="Arial"/>
      </rPr>
      <t>/
dln</t>
    </r>
    <r>
      <rPr>
        <b/>
        <sz val="12"/>
        <color indexed="8"/>
        <rFont val="Symbol"/>
      </rPr>
      <t>r</t>
    </r>
  </si>
  <si>
    <r>
      <t>d</t>
    </r>
    <r>
      <rPr>
        <b/>
        <sz val="12"/>
        <color indexed="8"/>
        <rFont val="Symbol"/>
      </rPr>
      <t>m</t>
    </r>
    <r>
      <rPr>
        <b/>
        <sz val="12"/>
        <color indexed="8"/>
        <rFont val="Arial"/>
      </rPr>
      <t>/dP</t>
    </r>
  </si>
  <si>
    <r>
      <t xml:space="preserve">expansivity
</t>
    </r>
    <r>
      <rPr>
        <b/>
        <sz val="12"/>
        <color theme="1"/>
        <rFont val="Symbol"/>
      </rPr>
      <t>a</t>
    </r>
    <r>
      <rPr>
        <b/>
        <vertAlign val="subscript"/>
        <sz val="12"/>
        <color theme="1"/>
        <rFont val="Arial"/>
      </rPr>
      <t>V</t>
    </r>
    <r>
      <rPr>
        <b/>
        <sz val="12"/>
        <color theme="1"/>
        <rFont val="Arial"/>
      </rPr>
      <t xml:space="preserve"> = a</t>
    </r>
    <r>
      <rPr>
        <b/>
        <vertAlign val="subscript"/>
        <sz val="12"/>
        <color theme="1"/>
        <rFont val="Arial"/>
      </rPr>
      <t>0</t>
    </r>
    <r>
      <rPr>
        <b/>
        <sz val="12"/>
        <color theme="1"/>
        <rFont val="Arial"/>
      </rPr>
      <t xml:space="preserve"> + a</t>
    </r>
    <r>
      <rPr>
        <b/>
        <vertAlign val="subscript"/>
        <sz val="12"/>
        <color theme="1"/>
        <rFont val="Arial"/>
      </rPr>
      <t>1</t>
    </r>
    <r>
      <rPr>
        <b/>
        <sz val="12"/>
        <color theme="1"/>
        <rFont val="Arial"/>
      </rPr>
      <t>T + a</t>
    </r>
    <r>
      <rPr>
        <b/>
        <vertAlign val="subscript"/>
        <sz val="12"/>
        <color theme="1"/>
        <rFont val="Arial"/>
      </rPr>
      <t>2</t>
    </r>
    <r>
      <rPr>
        <b/>
        <sz val="12"/>
        <color theme="1"/>
        <rFont val="Arial"/>
      </rPr>
      <t>T</t>
    </r>
    <r>
      <rPr>
        <b/>
        <vertAlign val="superscript"/>
        <sz val="12"/>
        <color theme="1"/>
        <rFont val="Arial"/>
      </rPr>
      <t>-2</t>
    </r>
    <r>
      <rPr>
        <b/>
        <sz val="12"/>
        <color theme="1"/>
        <rFont val="Arial"/>
      </rPr>
      <t xml:space="preserve">
(/K)</t>
    </r>
  </si>
  <si>
    <r>
      <t>SiO</t>
    </r>
    <r>
      <rPr>
        <vertAlign val="subscript"/>
        <sz val="12"/>
        <color theme="1"/>
        <rFont val="Arial"/>
      </rPr>
      <t>2</t>
    </r>
  </si>
  <si>
    <r>
      <t>KAl</t>
    </r>
    <r>
      <rPr>
        <sz val="12"/>
        <color theme="1"/>
        <rFont val="Arial"/>
      </rPr>
      <t>Si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8</t>
    </r>
  </si>
  <si>
    <r>
      <t>NaAlSi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8</t>
    </r>
  </si>
  <si>
    <r>
      <t>CaAlSi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8</t>
    </r>
  </si>
  <si>
    <r>
      <t>KAl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Si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10</t>
    </r>
    <r>
      <rPr>
        <sz val="12"/>
        <color theme="1"/>
        <rFont val="Arial"/>
      </rPr>
      <t>(OH)</t>
    </r>
    <r>
      <rPr>
        <vertAlign val="subscript"/>
        <sz val="12"/>
        <color theme="1"/>
        <rFont val="Arial"/>
      </rPr>
      <t>2</t>
    </r>
  </si>
  <si>
    <r>
      <t>KMg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AlSi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10</t>
    </r>
    <r>
      <rPr>
        <sz val="12"/>
        <color theme="1"/>
        <rFont val="Arial"/>
      </rPr>
      <t>(F,OH)</t>
    </r>
    <r>
      <rPr>
        <vertAlign val="subscript"/>
        <sz val="12"/>
        <color theme="1"/>
        <rFont val="Arial"/>
      </rPr>
      <t>2</t>
    </r>
  </si>
  <si>
    <r>
      <t>KFe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AlSi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10</t>
    </r>
    <r>
      <rPr>
        <sz val="12"/>
        <color theme="1"/>
        <rFont val="Arial"/>
      </rPr>
      <t>(F,OH)</t>
    </r>
    <r>
      <rPr>
        <vertAlign val="subscript"/>
        <sz val="12"/>
        <color theme="1"/>
        <rFont val="Arial"/>
      </rPr>
      <t>2</t>
    </r>
  </si>
  <si>
    <r>
      <t>CaMgSi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6</t>
    </r>
  </si>
  <si>
    <r>
      <t>CaFeSi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6</t>
    </r>
  </si>
  <si>
    <r>
      <t>MgSiO</t>
    </r>
    <r>
      <rPr>
        <vertAlign val="subscript"/>
        <sz val="12"/>
        <color theme="1"/>
        <rFont val="Arial"/>
      </rPr>
      <t>3</t>
    </r>
  </si>
  <si>
    <r>
      <t>FeSiO</t>
    </r>
    <r>
      <rPr>
        <vertAlign val="subscript"/>
        <sz val="12"/>
        <color theme="1"/>
        <rFont val="Arial"/>
      </rPr>
      <t>3</t>
    </r>
  </si>
  <si>
    <t>forsterite</t>
  </si>
  <si>
    <r>
      <t>Mg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SiO</t>
    </r>
    <r>
      <rPr>
        <vertAlign val="subscript"/>
        <sz val="12"/>
        <color theme="1"/>
        <rFont val="Arial"/>
      </rPr>
      <t>4</t>
    </r>
  </si>
  <si>
    <r>
      <t>Fe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SiO</t>
    </r>
    <r>
      <rPr>
        <vertAlign val="subscript"/>
        <sz val="12"/>
        <color theme="1"/>
        <rFont val="Arial"/>
      </rPr>
      <t>4</t>
    </r>
  </si>
  <si>
    <r>
      <t>MgAl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4</t>
    </r>
  </si>
  <si>
    <r>
      <t>Mg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Al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Si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12</t>
    </r>
  </si>
  <si>
    <r>
      <t>Fe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Al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Si</t>
    </r>
    <r>
      <rPr>
        <vertAlign val="subscript"/>
        <sz val="12"/>
        <color theme="1"/>
        <rFont val="Arial"/>
      </rPr>
      <t>3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12</t>
    </r>
  </si>
  <si>
    <r>
      <t>Ca</t>
    </r>
    <r>
      <rPr>
        <vertAlign val="subscript"/>
        <sz val="12"/>
        <color theme="1"/>
        <rFont val="Arial"/>
      </rPr>
      <t>2</t>
    </r>
    <r>
      <rPr>
        <sz val="12"/>
        <color theme="1"/>
        <rFont val="Arial"/>
      </rPr>
      <t>(Mg,Fe,Al)</t>
    </r>
    <r>
      <rPr>
        <vertAlign val="subscript"/>
        <sz val="12"/>
        <color theme="1"/>
        <rFont val="Arial"/>
      </rPr>
      <t>5</t>
    </r>
    <r>
      <rPr>
        <sz val="12"/>
        <color theme="1"/>
        <rFont val="Arial"/>
      </rPr>
      <t>(Al,Si)</t>
    </r>
    <r>
      <rPr>
        <vertAlign val="subscript"/>
        <sz val="12"/>
        <color theme="1"/>
        <rFont val="Arial"/>
      </rPr>
      <t>8</t>
    </r>
    <r>
      <rPr>
        <sz val="12"/>
        <color theme="1"/>
        <rFont val="Arial"/>
      </rPr>
      <t>O</t>
    </r>
    <r>
      <rPr>
        <vertAlign val="subscript"/>
        <sz val="12"/>
        <color theme="1"/>
        <rFont val="Arial"/>
      </rPr>
      <t>22</t>
    </r>
    <r>
      <rPr>
        <sz val="12"/>
        <color theme="1"/>
        <rFont val="Arial"/>
      </rPr>
      <t>(OH)</t>
    </r>
    <r>
      <rPr>
        <vertAlign val="subscript"/>
        <sz val="12"/>
        <color theme="1"/>
        <rFont val="Arial"/>
      </rPr>
      <t>2</t>
    </r>
  </si>
  <si>
    <r>
      <t>k</t>
    </r>
    <r>
      <rPr>
        <b/>
        <vertAlign val="subscript"/>
        <sz val="12"/>
        <color theme="1"/>
        <rFont val="Arial"/>
      </rPr>
      <t>0</t>
    </r>
  </si>
  <si>
    <r>
      <t>k</t>
    </r>
    <r>
      <rPr>
        <b/>
        <vertAlign val="subscript"/>
        <sz val="12"/>
        <color theme="1"/>
        <rFont val="Arial"/>
      </rPr>
      <t>1</t>
    </r>
  </si>
  <si>
    <r>
      <t>k</t>
    </r>
    <r>
      <rPr>
        <b/>
        <vertAlign val="subscript"/>
        <sz val="12"/>
        <color theme="1"/>
        <rFont val="Arial"/>
      </rPr>
      <t>2</t>
    </r>
    <r>
      <rPr>
        <b/>
        <sz val="12"/>
        <color theme="1"/>
        <rFont val="Arial"/>
      </rPr>
      <t/>
    </r>
  </si>
  <si>
    <t>n</t>
  </si>
  <si>
    <t>plagioclase</t>
  </si>
  <si>
    <t>biotite</t>
  </si>
  <si>
    <t>clinopyroxene</t>
  </si>
  <si>
    <t>orthopyroxene</t>
  </si>
  <si>
    <t>olivine</t>
  </si>
  <si>
    <t>spinel</t>
  </si>
  <si>
    <t>garnet</t>
  </si>
  <si>
    <t>X</t>
  </si>
  <si>
    <t>a-quartz</t>
  </si>
  <si>
    <t>b-quartz</t>
  </si>
  <si>
    <t>mole fraction of end-member</t>
  </si>
  <si>
    <r>
      <t>m</t>
    </r>
    <r>
      <rPr>
        <b/>
        <vertAlign val="subscript"/>
        <sz val="12"/>
        <color indexed="8"/>
        <rFont val="Arial"/>
      </rPr>
      <t>0</t>
    </r>
  </si>
  <si>
    <r>
      <t>V</t>
    </r>
    <r>
      <rPr>
        <b/>
        <vertAlign val="subscript"/>
        <sz val="12"/>
        <color indexed="8"/>
        <rFont val="Arial"/>
      </rPr>
      <t>0</t>
    </r>
  </si>
  <si>
    <r>
      <t>c</t>
    </r>
    <r>
      <rPr>
        <b/>
        <vertAlign val="subscript"/>
        <sz val="12"/>
        <color theme="1"/>
        <rFont val="Arial"/>
      </rPr>
      <t>2</t>
    </r>
    <r>
      <rPr>
        <b/>
        <sz val="12"/>
        <color theme="1"/>
        <rFont val="Arial"/>
      </rPr>
      <t/>
    </r>
  </si>
  <si>
    <r>
      <t>c</t>
    </r>
    <r>
      <rPr>
        <b/>
        <vertAlign val="subscript"/>
        <sz val="12"/>
        <color theme="1"/>
        <rFont val="Arial"/>
      </rPr>
      <t>3</t>
    </r>
    <r>
      <rPr>
        <b/>
        <sz val="12"/>
        <color theme="1"/>
        <rFont val="Arial"/>
      </rPr>
      <t/>
    </r>
  </si>
  <si>
    <r>
      <t>specific heat capacity
Cp = c</t>
    </r>
    <r>
      <rPr>
        <b/>
        <vertAlign val="subscript"/>
        <sz val="12"/>
        <color theme="1"/>
        <rFont val="Arial"/>
      </rPr>
      <t>0</t>
    </r>
    <r>
      <rPr>
        <b/>
        <sz val="12"/>
        <color theme="1"/>
        <rFont val="Arial"/>
      </rPr>
      <t xml:space="preserve"> + c</t>
    </r>
    <r>
      <rPr>
        <b/>
        <vertAlign val="subscript"/>
        <sz val="12"/>
        <color theme="1"/>
        <rFont val="Arial"/>
      </rPr>
      <t>1</t>
    </r>
    <r>
      <rPr>
        <b/>
        <sz val="12"/>
        <color theme="1"/>
        <rFont val="Arial"/>
      </rPr>
      <t>T</t>
    </r>
    <r>
      <rPr>
        <b/>
        <vertAlign val="superscript"/>
        <sz val="12"/>
        <color theme="1"/>
        <rFont val="Arial"/>
      </rPr>
      <t>-0.5</t>
    </r>
    <r>
      <rPr>
        <b/>
        <sz val="12"/>
        <color theme="1"/>
        <rFont val="Arial"/>
      </rPr>
      <t xml:space="preserve"> + c</t>
    </r>
    <r>
      <rPr>
        <b/>
        <vertAlign val="subscript"/>
        <sz val="12"/>
        <color theme="1"/>
        <rFont val="Arial"/>
      </rPr>
      <t>2</t>
    </r>
    <r>
      <rPr>
        <b/>
        <sz val="12"/>
        <color theme="1"/>
        <rFont val="Arial"/>
      </rPr>
      <t>T</t>
    </r>
    <r>
      <rPr>
        <b/>
        <vertAlign val="superscript"/>
        <sz val="12"/>
        <color theme="1"/>
        <rFont val="Arial"/>
      </rPr>
      <t>-2</t>
    </r>
    <r>
      <rPr>
        <b/>
        <sz val="12"/>
        <color theme="1"/>
        <rFont val="Arial"/>
      </rPr>
      <t xml:space="preserve"> + c</t>
    </r>
    <r>
      <rPr>
        <b/>
        <vertAlign val="subscript"/>
        <sz val="12"/>
        <color theme="1"/>
        <rFont val="Arial"/>
      </rPr>
      <t>3</t>
    </r>
    <r>
      <rPr>
        <b/>
        <sz val="12"/>
        <color theme="1"/>
        <rFont val="Arial"/>
      </rPr>
      <t>T</t>
    </r>
    <r>
      <rPr>
        <b/>
        <vertAlign val="superscript"/>
        <sz val="12"/>
        <color theme="1"/>
        <rFont val="Arial"/>
      </rPr>
      <t>-3</t>
    </r>
    <r>
      <rPr>
        <b/>
        <sz val="12"/>
        <color theme="1"/>
        <rFont val="Arial"/>
      </rPr>
      <t xml:space="preserve">
 (kJ/kg-K)</t>
    </r>
  </si>
  <si>
    <t>Temperature</t>
  </si>
  <si>
    <t>Expansivity</t>
  </si>
  <si>
    <r>
      <t>thermal conductivity
k(P,T) = (k</t>
    </r>
    <r>
      <rPr>
        <b/>
        <vertAlign val="subscript"/>
        <sz val="12"/>
        <color indexed="8"/>
        <rFont val="Arial"/>
      </rPr>
      <t>0</t>
    </r>
    <r>
      <rPr>
        <b/>
        <sz val="12"/>
        <color indexed="8"/>
        <rFont val="Arial"/>
      </rPr>
      <t xml:space="preserve"> + k</t>
    </r>
    <r>
      <rPr>
        <b/>
        <vertAlign val="subscript"/>
        <sz val="12"/>
        <color indexed="8"/>
        <rFont val="Arial"/>
      </rPr>
      <t>1</t>
    </r>
    <r>
      <rPr>
        <b/>
        <sz val="12"/>
        <color indexed="8"/>
        <rFont val="Arial"/>
      </rPr>
      <t>X + k</t>
    </r>
    <r>
      <rPr>
        <b/>
        <vertAlign val="subscript"/>
        <sz val="12"/>
        <color indexed="8"/>
        <rFont val="Arial"/>
      </rPr>
      <t>2</t>
    </r>
    <r>
      <rPr>
        <b/>
        <sz val="12"/>
        <color indexed="8"/>
        <rFont val="Arial"/>
      </rPr>
      <t>X</t>
    </r>
    <r>
      <rPr>
        <b/>
        <sz val="12"/>
        <color indexed="8"/>
        <rFont val="Arial"/>
      </rPr>
      <t>)(298/T)</t>
    </r>
    <r>
      <rPr>
        <b/>
        <vertAlign val="superscript"/>
        <sz val="12"/>
        <color indexed="8"/>
        <rFont val="Arial"/>
      </rPr>
      <t>n</t>
    </r>
    <r>
      <rPr>
        <b/>
        <sz val="12"/>
        <color indexed="8"/>
        <rFont val="Arial"/>
      </rPr>
      <t>(1 + P K</t>
    </r>
    <r>
      <rPr>
        <b/>
        <vertAlign val="subscript"/>
        <sz val="12"/>
        <color indexed="8"/>
        <rFont val="Arial"/>
      </rPr>
      <t>T</t>
    </r>
    <r>
      <rPr>
        <b/>
        <sz val="12"/>
        <color indexed="8"/>
        <rFont val="Arial"/>
      </rPr>
      <t>'/K</t>
    </r>
    <r>
      <rPr>
        <b/>
        <vertAlign val="subscript"/>
        <sz val="12"/>
        <color indexed="8"/>
        <rFont val="Arial"/>
      </rPr>
      <t>T</t>
    </r>
    <r>
      <rPr>
        <b/>
        <sz val="12"/>
        <color indexed="8"/>
        <rFont val="Arial"/>
      </rPr>
      <t>)
(Wm</t>
    </r>
    <r>
      <rPr>
        <b/>
        <vertAlign val="superscript"/>
        <sz val="12"/>
        <color indexed="8"/>
        <rFont val="Arial"/>
      </rPr>
      <t>-1</t>
    </r>
    <r>
      <rPr>
        <b/>
        <sz val="12"/>
        <color indexed="8"/>
        <rFont val="Arial"/>
      </rPr>
      <t>K</t>
    </r>
    <r>
      <rPr>
        <b/>
        <vertAlign val="superscript"/>
        <sz val="12"/>
        <color indexed="8"/>
        <rFont val="Arial"/>
      </rPr>
      <t>-1</t>
    </r>
    <r>
      <rPr>
        <b/>
        <sz val="12"/>
        <color indexed="8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</si>
</sst>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2"/>
      <color theme="1"/>
      <name val="Calibri"/>
      <family val="2"/>
      <scheme val="minor"/>
    </font>
    <font>
      <sz val="12"/>
      <color indexed="8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indexed="8"/>
      <name val="Arial"/>
    </font>
    <font>
      <sz val="10"/>
      <color theme="1"/>
      <name val="Arial"/>
    </font>
    <font>
      <sz val="12"/>
      <color indexed="8"/>
      <name val="Arial"/>
    </font>
    <font>
      <b/>
      <sz val="12"/>
      <color indexed="8"/>
      <name val="Symbol"/>
    </font>
    <font>
      <b/>
      <vertAlign val="subscript"/>
      <sz val="12"/>
      <color indexed="8"/>
      <name val="Arial"/>
    </font>
    <font>
      <sz val="12"/>
      <name val="Arial"/>
    </font>
    <font>
      <b/>
      <sz val="12"/>
      <color theme="1"/>
      <name val="Arial"/>
    </font>
    <font>
      <sz val="12"/>
      <color theme="1"/>
      <name val="Arial"/>
    </font>
    <font>
      <b/>
      <vertAlign val="subscript"/>
      <sz val="12"/>
      <color theme="1"/>
      <name val="Arial"/>
    </font>
    <font>
      <b/>
      <vertAlign val="superscript"/>
      <sz val="12"/>
      <color theme="1"/>
      <name val="Arial"/>
    </font>
    <font>
      <b/>
      <vertAlign val="superscript"/>
      <sz val="12"/>
      <color indexed="8"/>
      <name val="Arial"/>
    </font>
    <font>
      <b/>
      <sz val="12"/>
      <color theme="1"/>
      <name val="Symbol"/>
    </font>
    <font>
      <vertAlign val="subscript"/>
      <sz val="12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1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164" fontId="4" fillId="0" borderId="1" xfId="0" applyNumberFormat="1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right"/>
    </xf>
    <xf numFmtId="164" fontId="4" fillId="0" borderId="2" xfId="0" applyNumberFormat="1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1" fontId="4" fillId="0" borderId="2" xfId="0" applyNumberFormat="1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164" fontId="6" fillId="0" borderId="0" xfId="0" applyNumberFormat="1" applyFont="1" applyFill="1"/>
    <xf numFmtId="1" fontId="6" fillId="0" borderId="0" xfId="0" applyNumberFormat="1" applyFont="1" applyFill="1"/>
    <xf numFmtId="0" fontId="6" fillId="0" borderId="0" xfId="0" applyNumberFormat="1" applyFont="1" applyFill="1"/>
    <xf numFmtId="2" fontId="6" fillId="0" borderId="0" xfId="0" applyNumberFormat="1" applyFont="1" applyFill="1"/>
    <xf numFmtId="0" fontId="4" fillId="0" borderId="0" xfId="0" applyFont="1" applyFill="1" applyAlignment="1">
      <alignment horizontal="right"/>
    </xf>
    <xf numFmtId="11" fontId="7" fillId="0" borderId="2" xfId="0" applyNumberFormat="1" applyFont="1" applyFill="1" applyBorder="1" applyAlignment="1">
      <alignment horizontal="center"/>
    </xf>
    <xf numFmtId="2" fontId="9" fillId="0" borderId="0" xfId="0" applyNumberFormat="1" applyFont="1" applyFill="1"/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right" vertical="center" wrapText="1"/>
    </xf>
    <xf numFmtId="0" fontId="10" fillId="0" borderId="3" xfId="0" applyFont="1" applyFill="1" applyBorder="1" applyAlignment="1">
      <alignment horizontal="center" vertical="center" wrapText="1"/>
    </xf>
    <xf numFmtId="164" fontId="7" fillId="0" borderId="2" xfId="0" applyNumberFormat="1" applyFont="1" applyFill="1" applyBorder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right" vertical="center" wrapText="1"/>
    </xf>
    <xf numFmtId="0" fontId="6" fillId="0" borderId="0" xfId="0" applyFont="1" applyFill="1"/>
    <xf numFmtId="164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</cellXfs>
  <cellStyles count="1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abSelected="1" workbookViewId="0">
      <pane xSplit="7860" activePane="topRight"/>
      <selection activeCell="A2" sqref="A2:XFD2"/>
      <selection pane="topRight" activeCell="A25" sqref="A25"/>
    </sheetView>
  </sheetViews>
  <sheetFormatPr baseColWidth="10" defaultRowHeight="15" x14ac:dyDescent="0"/>
  <cols>
    <col min="2" max="2" width="16.5" customWidth="1"/>
    <col min="3" max="3" width="34.33203125" customWidth="1"/>
    <col min="15" max="15" width="12.5" customWidth="1"/>
    <col min="17" max="17" width="14.83203125" bestFit="1" customWidth="1"/>
    <col min="20" max="20" width="13.5" customWidth="1"/>
    <col min="21" max="21" width="14.1640625" customWidth="1"/>
  </cols>
  <sheetData>
    <row r="1" spans="1:21" s="1" customFormat="1" ht="60">
      <c r="B1" s="3"/>
      <c r="C1" s="3"/>
      <c r="D1" s="25" t="s">
        <v>0</v>
      </c>
      <c r="E1" s="25" t="s">
        <v>37</v>
      </c>
      <c r="F1" s="26" t="s">
        <v>36</v>
      </c>
      <c r="G1" s="27" t="s">
        <v>1</v>
      </c>
      <c r="H1" s="33" t="s">
        <v>41</v>
      </c>
      <c r="I1" s="33"/>
      <c r="J1" s="33"/>
      <c r="K1" s="33" t="s">
        <v>79</v>
      </c>
      <c r="L1" s="33"/>
      <c r="M1" s="33"/>
      <c r="N1" s="33"/>
      <c r="O1" s="25" t="s">
        <v>18</v>
      </c>
      <c r="P1" s="28" t="s">
        <v>38</v>
      </c>
      <c r="Q1" s="25" t="s">
        <v>17</v>
      </c>
      <c r="R1" s="25" t="s">
        <v>39</v>
      </c>
      <c r="S1" s="28" t="s">
        <v>40</v>
      </c>
      <c r="T1" s="25" t="s">
        <v>2</v>
      </c>
      <c r="U1" s="25" t="s">
        <v>3</v>
      </c>
    </row>
    <row r="2" spans="1:21" s="2" customFormat="1" ht="26" customHeight="1">
      <c r="B2" s="4" t="s">
        <v>4</v>
      </c>
      <c r="C2" s="4"/>
      <c r="D2" s="5" t="s">
        <v>75</v>
      </c>
      <c r="E2" s="5" t="s">
        <v>76</v>
      </c>
      <c r="F2" s="6" t="s">
        <v>30</v>
      </c>
      <c r="G2" s="7"/>
      <c r="H2" s="20" t="s">
        <v>31</v>
      </c>
      <c r="I2" s="20" t="s">
        <v>32</v>
      </c>
      <c r="J2" s="20" t="s">
        <v>33</v>
      </c>
      <c r="K2" s="20" t="s">
        <v>34</v>
      </c>
      <c r="L2" s="20" t="s">
        <v>35</v>
      </c>
      <c r="M2" s="20" t="s">
        <v>77</v>
      </c>
      <c r="N2" s="20" t="s">
        <v>78</v>
      </c>
      <c r="O2" s="8" t="s">
        <v>26</v>
      </c>
      <c r="P2" s="9" t="s">
        <v>27</v>
      </c>
      <c r="Q2" s="16" t="s">
        <v>25</v>
      </c>
      <c r="R2" s="21" t="s">
        <v>5</v>
      </c>
      <c r="S2" s="9" t="s">
        <v>24</v>
      </c>
      <c r="T2" s="5" t="s">
        <v>22</v>
      </c>
      <c r="U2" s="9" t="s">
        <v>23</v>
      </c>
    </row>
    <row r="3" spans="1:21" s="1" customFormat="1" ht="16">
      <c r="A3" s="24">
        <v>1</v>
      </c>
      <c r="B3" s="10" t="s">
        <v>28</v>
      </c>
      <c r="C3" s="18" t="s">
        <v>42</v>
      </c>
      <c r="D3" s="11">
        <v>60.085000000000001</v>
      </c>
      <c r="E3" s="11">
        <v>22.690709969788518</v>
      </c>
      <c r="F3" s="12">
        <v>2648</v>
      </c>
      <c r="G3" s="13">
        <v>0</v>
      </c>
      <c r="H3" s="19">
        <v>1.417</v>
      </c>
      <c r="I3" s="19">
        <v>9.6580999999999992</v>
      </c>
      <c r="J3" s="19">
        <v>-1.6973</v>
      </c>
      <c r="K3" s="19">
        <v>1.7699</v>
      </c>
      <c r="L3" s="19">
        <v>-23.49</v>
      </c>
      <c r="M3" s="19">
        <v>45.947000000000003</v>
      </c>
      <c r="N3" s="19">
        <v>-7.2005999999999997</v>
      </c>
      <c r="O3" s="14">
        <v>37.119999999999997</v>
      </c>
      <c r="P3" s="14">
        <v>5.99</v>
      </c>
      <c r="Q3" s="14">
        <v>44.8</v>
      </c>
      <c r="R3" s="11">
        <v>40.1</v>
      </c>
      <c r="S3" s="14">
        <v>0.46</v>
      </c>
      <c r="T3" s="11">
        <v>0.66600000000000004</v>
      </c>
      <c r="U3" s="14">
        <v>8.4149999999999991</v>
      </c>
    </row>
    <row r="4" spans="1:21" s="1" customFormat="1" ht="16">
      <c r="A4" s="24">
        <v>2</v>
      </c>
      <c r="B4" s="15" t="s">
        <v>29</v>
      </c>
      <c r="C4" s="18" t="s">
        <v>42</v>
      </c>
      <c r="D4" s="11">
        <v>60.085000000000001</v>
      </c>
      <c r="E4" s="11">
        <v>22.690709969788518</v>
      </c>
      <c r="F4" s="12">
        <v>2530</v>
      </c>
      <c r="G4" s="13">
        <v>0</v>
      </c>
      <c r="H4" s="19">
        <v>-0.44</v>
      </c>
      <c r="I4" s="19">
        <v>0</v>
      </c>
      <c r="J4" s="19">
        <v>0</v>
      </c>
      <c r="K4" s="19">
        <v>0.9647</v>
      </c>
      <c r="L4" s="19">
        <v>-4.0000000000000002E-4</v>
      </c>
      <c r="M4" s="19">
        <v>30.545999999999999</v>
      </c>
      <c r="N4" s="19">
        <v>-1.8E-3</v>
      </c>
      <c r="O4" s="14">
        <v>57.01</v>
      </c>
      <c r="P4" s="14">
        <v>4</v>
      </c>
      <c r="Q4" s="14">
        <v>41.4</v>
      </c>
      <c r="R4" s="11">
        <f>U4</f>
        <v>4.1100000000000003</v>
      </c>
      <c r="S4" s="14">
        <f>(5*Q4)/(3*O4)</f>
        <v>1.2103139800035081</v>
      </c>
      <c r="T4" s="11">
        <v>0.11</v>
      </c>
      <c r="U4" s="14">
        <f t="shared" ref="U4:U15" si="0">T4+P4</f>
        <v>4.1100000000000003</v>
      </c>
    </row>
    <row r="5" spans="1:21" s="1" customFormat="1">
      <c r="A5" s="24">
        <v>3</v>
      </c>
      <c r="B5" s="15" t="s">
        <v>6</v>
      </c>
      <c r="C5" s="18" t="s">
        <v>43</v>
      </c>
      <c r="D5" s="11">
        <v>278.33</v>
      </c>
      <c r="E5" s="11">
        <v>105.1095166163142</v>
      </c>
      <c r="F5" s="12">
        <v>2555</v>
      </c>
      <c r="G5" s="13">
        <v>0</v>
      </c>
      <c r="H5" s="19">
        <v>3.4</v>
      </c>
      <c r="I5" s="19">
        <v>0</v>
      </c>
      <c r="J5" s="19">
        <v>0</v>
      </c>
      <c r="K5" s="19">
        <v>1.4444999999999999</v>
      </c>
      <c r="L5" s="19">
        <v>-9.5303000000000004</v>
      </c>
      <c r="M5" s="19">
        <v>-26.395</v>
      </c>
      <c r="N5" s="19">
        <v>3.6781000000000001</v>
      </c>
      <c r="O5" s="14">
        <v>58.3</v>
      </c>
      <c r="P5" s="14">
        <v>4</v>
      </c>
      <c r="Q5" s="14">
        <v>28.1</v>
      </c>
      <c r="R5" s="11">
        <f>U5</f>
        <v>4.4400000000000004</v>
      </c>
      <c r="S5" s="14">
        <f>(5*Q5)/(3*O5)</f>
        <v>0.80331618067467137</v>
      </c>
      <c r="T5" s="11">
        <v>0.44</v>
      </c>
      <c r="U5" s="14">
        <f t="shared" si="0"/>
        <v>4.4400000000000004</v>
      </c>
    </row>
    <row r="6" spans="1:21" s="1" customFormat="1">
      <c r="A6" s="24">
        <v>4</v>
      </c>
      <c r="B6" s="15" t="s">
        <v>7</v>
      </c>
      <c r="C6" s="18" t="s">
        <v>44</v>
      </c>
      <c r="D6" s="11">
        <v>262.23</v>
      </c>
      <c r="E6" s="11">
        <v>99.029456193353468</v>
      </c>
      <c r="F6" s="12">
        <v>2620</v>
      </c>
      <c r="G6" s="13">
        <v>0</v>
      </c>
      <c r="H6" s="19">
        <v>1.9801</v>
      </c>
      <c r="I6" s="19">
        <v>1.0065</v>
      </c>
      <c r="J6" s="19">
        <v>-0.97599999999999998</v>
      </c>
      <c r="K6" s="19">
        <v>1.5012000000000001</v>
      </c>
      <c r="L6" s="19">
        <v>-9.2116000000000007</v>
      </c>
      <c r="M6" s="19">
        <v>-30.099</v>
      </c>
      <c r="N6" s="19">
        <v>4.0829000000000004</v>
      </c>
      <c r="O6" s="17">
        <v>57.76</v>
      </c>
      <c r="P6" s="17">
        <v>4</v>
      </c>
      <c r="Q6" s="17">
        <v>29.782499999999992</v>
      </c>
      <c r="R6" s="11">
        <v>13</v>
      </c>
      <c r="S6" s="14">
        <f>S4</f>
        <v>1.2103139800035081</v>
      </c>
      <c r="T6" s="11">
        <v>0.56999999999999995</v>
      </c>
      <c r="U6" s="14">
        <f t="shared" si="0"/>
        <v>4.57</v>
      </c>
    </row>
    <row r="7" spans="1:21" s="1" customFormat="1">
      <c r="A7" s="24">
        <v>5</v>
      </c>
      <c r="B7" s="15" t="s">
        <v>8</v>
      </c>
      <c r="C7" s="18" t="s">
        <v>45</v>
      </c>
      <c r="D7" s="11">
        <v>278.16899999999998</v>
      </c>
      <c r="E7" s="11">
        <v>105.0487160120846</v>
      </c>
      <c r="F7" s="12">
        <v>2760</v>
      </c>
      <c r="G7" s="13">
        <v>0</v>
      </c>
      <c r="H7" s="19">
        <v>1.2491000000000001</v>
      </c>
      <c r="I7" s="19">
        <v>-1.6199999999999999E-2</v>
      </c>
      <c r="J7" s="19">
        <v>1.61E-2</v>
      </c>
      <c r="K7" s="19">
        <v>1.5792999999999999</v>
      </c>
      <c r="L7" s="19">
        <v>-4.7252000000000001</v>
      </c>
      <c r="M7" s="19">
        <v>0</v>
      </c>
      <c r="N7" s="19">
        <v>-1.1395</v>
      </c>
      <c r="O7" s="17">
        <v>81.86</v>
      </c>
      <c r="P7" s="17">
        <v>4</v>
      </c>
      <c r="Q7" s="17">
        <v>36.048440366972471</v>
      </c>
      <c r="R7" s="11">
        <v>6.8</v>
      </c>
      <c r="S7" s="14">
        <v>3.48</v>
      </c>
      <c r="T7" s="11">
        <v>0.47</v>
      </c>
      <c r="U7" s="14">
        <f t="shared" si="0"/>
        <v>4.47</v>
      </c>
    </row>
    <row r="8" spans="1:21" s="1" customFormat="1">
      <c r="A8" s="24">
        <v>6</v>
      </c>
      <c r="B8" s="15" t="s">
        <v>20</v>
      </c>
      <c r="C8" s="18" t="s">
        <v>46</v>
      </c>
      <c r="D8" s="11">
        <v>398.24799999999999</v>
      </c>
      <c r="E8" s="11">
        <v>150.39577039274926</v>
      </c>
      <c r="F8" s="12">
        <v>2828</v>
      </c>
      <c r="G8" s="13">
        <v>4.5</v>
      </c>
      <c r="H8" s="19">
        <v>3.5369999999999999</v>
      </c>
      <c r="I8" s="19">
        <v>0</v>
      </c>
      <c r="J8" s="19">
        <v>0</v>
      </c>
      <c r="K8" s="19">
        <v>1.6679999999999999</v>
      </c>
      <c r="L8" s="19">
        <v>-10.994</v>
      </c>
      <c r="M8" s="19">
        <v>-36.79</v>
      </c>
      <c r="N8" s="19">
        <v>5.0613999999999999</v>
      </c>
      <c r="O8" s="17">
        <v>49</v>
      </c>
      <c r="P8" s="17">
        <v>4</v>
      </c>
      <c r="Q8" s="17">
        <v>29.54</v>
      </c>
      <c r="R8" s="11">
        <v>4.5</v>
      </c>
      <c r="S8" s="14">
        <v>1</v>
      </c>
      <c r="T8" s="11">
        <v>0.52</v>
      </c>
      <c r="U8" s="14">
        <f t="shared" si="0"/>
        <v>4.5199999999999996</v>
      </c>
    </row>
    <row r="9" spans="1:21" s="1" customFormat="1">
      <c r="A9" s="24">
        <v>7</v>
      </c>
      <c r="B9" s="15" t="s">
        <v>9</v>
      </c>
      <c r="C9" s="18" t="s">
        <v>47</v>
      </c>
      <c r="D9" s="11">
        <v>417.24</v>
      </c>
      <c r="E9" s="11">
        <v>157.5679758308157</v>
      </c>
      <c r="F9" s="12">
        <v>2788</v>
      </c>
      <c r="G9" s="13">
        <v>4.5</v>
      </c>
      <c r="H9" s="19">
        <v>5.8</v>
      </c>
      <c r="I9" s="19">
        <v>0</v>
      </c>
      <c r="J9" s="19">
        <v>0</v>
      </c>
      <c r="K9" s="19">
        <v>1.4354</v>
      </c>
      <c r="L9" s="19">
        <v>-4.0507999999999997</v>
      </c>
      <c r="M9" s="19">
        <v>-61.28</v>
      </c>
      <c r="N9" s="19">
        <v>8.9949999999999992</v>
      </c>
      <c r="O9" s="17">
        <v>49.7</v>
      </c>
      <c r="P9" s="17">
        <v>8.59</v>
      </c>
      <c r="Q9" s="17">
        <v>22.94</v>
      </c>
      <c r="R9" s="11">
        <f t="shared" ref="R9:R15" si="1">U9</f>
        <v>9.14</v>
      </c>
      <c r="S9" s="14">
        <f>(5*Q9)/(3*O9)</f>
        <v>0.76928236083165646</v>
      </c>
      <c r="T9" s="11">
        <v>0.55000000000000004</v>
      </c>
      <c r="U9" s="14">
        <f t="shared" si="0"/>
        <v>9.14</v>
      </c>
    </row>
    <row r="10" spans="1:21" s="1" customFormat="1">
      <c r="A10" s="24">
        <v>8</v>
      </c>
      <c r="B10" s="15" t="s">
        <v>19</v>
      </c>
      <c r="C10" s="18" t="s">
        <v>48</v>
      </c>
      <c r="D10" s="11">
        <v>511.86599999999999</v>
      </c>
      <c r="E10" s="11">
        <v>193.30287009063443</v>
      </c>
      <c r="F10" s="12">
        <v>3317</v>
      </c>
      <c r="G10" s="13">
        <v>3.5</v>
      </c>
      <c r="H10" s="19">
        <v>3.7</v>
      </c>
      <c r="I10" s="19">
        <v>0</v>
      </c>
      <c r="J10" s="19">
        <v>0</v>
      </c>
      <c r="K10" s="19">
        <v>1.2777000000000001</v>
      </c>
      <c r="L10" s="19">
        <v>-5.6609999999999996</v>
      </c>
      <c r="M10" s="19">
        <v>-42.813000000000002</v>
      </c>
      <c r="N10" s="19">
        <v>6.9200999999999997</v>
      </c>
      <c r="O10" s="17">
        <v>49.7</v>
      </c>
      <c r="P10" s="17">
        <f>P9</f>
        <v>8.59</v>
      </c>
      <c r="Q10" s="17">
        <v>22.94</v>
      </c>
      <c r="R10" s="11">
        <f t="shared" si="1"/>
        <v>9.14</v>
      </c>
      <c r="S10" s="14">
        <f>(5*Q10)/(3*O10)</f>
        <v>0.76928236083165646</v>
      </c>
      <c r="T10" s="11">
        <v>0.55000000000000004</v>
      </c>
      <c r="U10" s="14">
        <f t="shared" si="0"/>
        <v>9.14</v>
      </c>
    </row>
    <row r="11" spans="1:21" s="1" customFormat="1">
      <c r="A11" s="24">
        <v>9</v>
      </c>
      <c r="B11" s="15" t="s">
        <v>21</v>
      </c>
      <c r="C11" s="18" t="s">
        <v>59</v>
      </c>
      <c r="D11" s="11">
        <v>864.72</v>
      </c>
      <c r="E11" s="11">
        <v>326.55589123867071</v>
      </c>
      <c r="F11" s="12">
        <v>3248</v>
      </c>
      <c r="G11" s="13">
        <v>2.5</v>
      </c>
      <c r="H11" s="19">
        <v>2.0750000000000002</v>
      </c>
      <c r="I11" s="19">
        <v>1.0269999999999999</v>
      </c>
      <c r="J11" s="19">
        <v>0</v>
      </c>
      <c r="K11" s="19">
        <v>1.6558999999999999</v>
      </c>
      <c r="L11" s="19">
        <v>-13.125999999999999</v>
      </c>
      <c r="M11" s="19">
        <v>1.5163</v>
      </c>
      <c r="N11" s="19">
        <v>-2.6059000000000001</v>
      </c>
      <c r="O11" s="17">
        <v>93.97</v>
      </c>
      <c r="P11" s="17">
        <v>4</v>
      </c>
      <c r="Q11" s="17">
        <v>54.5</v>
      </c>
      <c r="R11" s="11">
        <f t="shared" si="1"/>
        <v>5.0999999999999996</v>
      </c>
      <c r="S11" s="14">
        <f>(5*Q11)/(3*O11)</f>
        <v>0.96662055265864999</v>
      </c>
      <c r="T11" s="11">
        <v>1.1000000000000001</v>
      </c>
      <c r="U11" s="14">
        <f t="shared" si="0"/>
        <v>5.0999999999999996</v>
      </c>
    </row>
    <row r="12" spans="1:21" s="1" customFormat="1">
      <c r="A12" s="24">
        <v>10</v>
      </c>
      <c r="B12" s="15" t="s">
        <v>13</v>
      </c>
      <c r="C12" s="18" t="s">
        <v>49</v>
      </c>
      <c r="D12" s="11">
        <v>216.56</v>
      </c>
      <c r="E12" s="11">
        <v>81.782477341389722</v>
      </c>
      <c r="F12" s="12">
        <v>3272</v>
      </c>
      <c r="G12" s="13">
        <v>0</v>
      </c>
      <c r="H12" s="19">
        <v>3.33</v>
      </c>
      <c r="I12" s="19">
        <v>0</v>
      </c>
      <c r="J12" s="19">
        <v>0</v>
      </c>
      <c r="K12" s="19">
        <v>1.4103000000000001</v>
      </c>
      <c r="L12" s="19">
        <v>-7.4108999999999998</v>
      </c>
      <c r="M12" s="19">
        <v>-33.090000000000003</v>
      </c>
      <c r="N12" s="19">
        <v>4.2567000000000004</v>
      </c>
      <c r="O12" s="14">
        <v>113</v>
      </c>
      <c r="P12" s="14">
        <v>4.8</v>
      </c>
      <c r="Q12" s="14">
        <v>64.900000000000006</v>
      </c>
      <c r="R12" s="11">
        <f t="shared" si="1"/>
        <v>6.04</v>
      </c>
      <c r="S12" s="14">
        <v>2</v>
      </c>
      <c r="T12" s="11">
        <v>1.24</v>
      </c>
      <c r="U12" s="14">
        <f t="shared" si="0"/>
        <v>6.04</v>
      </c>
    </row>
    <row r="13" spans="1:21" s="1" customFormat="1">
      <c r="A13" s="24">
        <v>11</v>
      </c>
      <c r="B13" s="15" t="s">
        <v>14</v>
      </c>
      <c r="C13" s="18" t="s">
        <v>50</v>
      </c>
      <c r="D13" s="11">
        <v>248.09</v>
      </c>
      <c r="E13" s="11">
        <v>93.689577039274923</v>
      </c>
      <c r="F13" s="12">
        <v>3651</v>
      </c>
      <c r="G13" s="13">
        <v>0</v>
      </c>
      <c r="H13" s="19">
        <v>2.98</v>
      </c>
      <c r="I13" s="19">
        <v>0</v>
      </c>
      <c r="J13" s="19">
        <v>0</v>
      </c>
      <c r="K13" s="19">
        <v>1.3712</v>
      </c>
      <c r="L13" s="19">
        <v>-10.667999999999999</v>
      </c>
      <c r="M13" s="19">
        <v>-32.728999999999999</v>
      </c>
      <c r="N13" s="19">
        <v>-4.1999999999999997E-3</v>
      </c>
      <c r="O13" s="14">
        <v>119.2</v>
      </c>
      <c r="P13" s="14">
        <v>4</v>
      </c>
      <c r="Q13" s="14">
        <v>61</v>
      </c>
      <c r="R13" s="11">
        <f t="shared" si="1"/>
        <v>5.21</v>
      </c>
      <c r="S13" s="14">
        <f>(5*Q13)/(3*O13)</f>
        <v>0.8529082774049217</v>
      </c>
      <c r="T13" s="11">
        <v>1.21</v>
      </c>
      <c r="U13" s="14">
        <f t="shared" si="0"/>
        <v>5.21</v>
      </c>
    </row>
    <row r="14" spans="1:21" s="1" customFormat="1">
      <c r="A14" s="24">
        <v>12</v>
      </c>
      <c r="B14" s="15" t="s">
        <v>15</v>
      </c>
      <c r="C14" s="18" t="s">
        <v>51</v>
      </c>
      <c r="D14" s="11">
        <v>200.79</v>
      </c>
      <c r="E14" s="11">
        <v>75.827039274924473</v>
      </c>
      <c r="F14" s="12">
        <v>3206</v>
      </c>
      <c r="G14" s="13">
        <v>0</v>
      </c>
      <c r="H14" s="19">
        <v>2.972</v>
      </c>
      <c r="I14" s="19">
        <v>0.57110000000000005</v>
      </c>
      <c r="J14" s="19">
        <v>0</v>
      </c>
      <c r="K14" s="19">
        <v>1.6592</v>
      </c>
      <c r="L14" s="19">
        <v>-11.959</v>
      </c>
      <c r="M14" s="19">
        <v>-22.616</v>
      </c>
      <c r="N14" s="19">
        <v>2.7805</v>
      </c>
      <c r="O14" s="14">
        <v>105.8</v>
      </c>
      <c r="P14" s="14">
        <v>8.5</v>
      </c>
      <c r="Q14" s="14">
        <v>76.8</v>
      </c>
      <c r="R14" s="11">
        <f t="shared" si="1"/>
        <v>9.39</v>
      </c>
      <c r="S14" s="14">
        <v>2</v>
      </c>
      <c r="T14" s="11">
        <v>0.89</v>
      </c>
      <c r="U14" s="14">
        <f t="shared" si="0"/>
        <v>9.39</v>
      </c>
    </row>
    <row r="15" spans="1:21" s="1" customFormat="1">
      <c r="A15" s="24">
        <v>13</v>
      </c>
      <c r="B15" s="15" t="s">
        <v>12</v>
      </c>
      <c r="C15" s="18" t="s">
        <v>52</v>
      </c>
      <c r="D15" s="11">
        <v>263.86</v>
      </c>
      <c r="E15" s="11">
        <v>99.645015105740185</v>
      </c>
      <c r="F15" s="12">
        <v>4003</v>
      </c>
      <c r="G15" s="13">
        <v>0</v>
      </c>
      <c r="H15" s="19">
        <v>2.875</v>
      </c>
      <c r="I15" s="19">
        <v>0</v>
      </c>
      <c r="J15" s="19">
        <v>0</v>
      </c>
      <c r="K15" s="19">
        <v>1.3204</v>
      </c>
      <c r="L15" s="19">
        <v>-10.558999999999999</v>
      </c>
      <c r="M15" s="19">
        <v>-3.444</v>
      </c>
      <c r="N15" s="19">
        <v>-0.2858</v>
      </c>
      <c r="O15" s="14">
        <v>100.17</v>
      </c>
      <c r="P15" s="14">
        <v>4</v>
      </c>
      <c r="Q15" s="14">
        <v>52</v>
      </c>
      <c r="R15" s="11">
        <f t="shared" si="1"/>
        <v>5.05</v>
      </c>
      <c r="S15" s="14">
        <v>2</v>
      </c>
      <c r="T15" s="11">
        <v>1.05</v>
      </c>
      <c r="U15" s="14">
        <f t="shared" si="0"/>
        <v>5.05</v>
      </c>
    </row>
    <row r="16" spans="1:21" s="1" customFormat="1">
      <c r="A16" s="24">
        <v>14</v>
      </c>
      <c r="B16" s="15" t="s">
        <v>53</v>
      </c>
      <c r="C16" s="18" t="s">
        <v>54</v>
      </c>
      <c r="D16" s="11">
        <v>140.69999999999999</v>
      </c>
      <c r="E16" s="11">
        <v>53.13444108761329</v>
      </c>
      <c r="F16" s="12">
        <v>3222</v>
      </c>
      <c r="G16" s="13">
        <v>0</v>
      </c>
      <c r="H16" s="19">
        <v>2.8540000000000001</v>
      </c>
      <c r="I16" s="19">
        <v>1.008</v>
      </c>
      <c r="J16" s="19">
        <v>-0.38419999999999999</v>
      </c>
      <c r="K16" s="19">
        <v>1.6572</v>
      </c>
      <c r="L16" s="19">
        <v>-12.804</v>
      </c>
      <c r="M16" s="19">
        <v>0</v>
      </c>
      <c r="N16" s="19">
        <v>-1.9041999999999999</v>
      </c>
      <c r="O16" s="14">
        <v>127.3</v>
      </c>
      <c r="P16" s="14">
        <v>5.37</v>
      </c>
      <c r="Q16" s="14">
        <v>81.599999999999994</v>
      </c>
      <c r="R16" s="11">
        <v>5.19</v>
      </c>
      <c r="S16" s="14">
        <v>1.82</v>
      </c>
      <c r="T16" s="11">
        <v>1.1599999999999999</v>
      </c>
      <c r="U16" s="14">
        <v>5.5</v>
      </c>
    </row>
    <row r="17" spans="1:21" s="1" customFormat="1">
      <c r="A17" s="24">
        <v>15</v>
      </c>
      <c r="B17" s="15" t="s">
        <v>16</v>
      </c>
      <c r="C17" s="18" t="s">
        <v>55</v>
      </c>
      <c r="D17" s="11">
        <v>203.77</v>
      </c>
      <c r="E17" s="11">
        <v>76.952416918429009</v>
      </c>
      <c r="F17" s="12">
        <v>4400</v>
      </c>
      <c r="G17" s="13">
        <v>0</v>
      </c>
      <c r="H17" s="19">
        <v>2.3860000000000001</v>
      </c>
      <c r="I17" s="19">
        <v>1.153</v>
      </c>
      <c r="J17" s="19">
        <v>-5.1799999999999999E-2</v>
      </c>
      <c r="K17" s="19">
        <v>1.2365999999999999</v>
      </c>
      <c r="L17" s="19">
        <v>-9.8819999999999997</v>
      </c>
      <c r="M17" s="19">
        <v>0</v>
      </c>
      <c r="N17" s="19">
        <v>-0.30520000000000003</v>
      </c>
      <c r="O17" s="14">
        <v>136.69999999999999</v>
      </c>
      <c r="P17" s="14">
        <v>5.16</v>
      </c>
      <c r="Q17" s="14">
        <v>51</v>
      </c>
      <c r="R17" s="11">
        <v>4.6900000000000004</v>
      </c>
      <c r="S17" s="14">
        <v>0.62</v>
      </c>
      <c r="T17" s="11">
        <v>1.1000000000000001</v>
      </c>
      <c r="U17" s="14">
        <v>5.4</v>
      </c>
    </row>
    <row r="18" spans="1:21" s="1" customFormat="1">
      <c r="A18" s="24">
        <v>16</v>
      </c>
      <c r="B18" s="15" t="s">
        <v>69</v>
      </c>
      <c r="C18" s="18" t="s">
        <v>56</v>
      </c>
      <c r="D18" s="11">
        <v>142.27000000000001</v>
      </c>
      <c r="E18" s="11">
        <v>53.727341389728096</v>
      </c>
      <c r="F18" s="12">
        <v>3575</v>
      </c>
      <c r="G18" s="13">
        <v>0</v>
      </c>
      <c r="H18" s="19">
        <v>1.96</v>
      </c>
      <c r="I18" s="19">
        <v>1.64</v>
      </c>
      <c r="J18" s="19">
        <v>0</v>
      </c>
      <c r="K18" s="19">
        <v>1.7197</v>
      </c>
      <c r="L18" s="19">
        <v>-14.086</v>
      </c>
      <c r="M18" s="19">
        <v>0</v>
      </c>
      <c r="N18" s="19">
        <v>0</v>
      </c>
      <c r="O18" s="14">
        <v>196.2</v>
      </c>
      <c r="P18" s="14">
        <v>4</v>
      </c>
      <c r="Q18" s="14">
        <v>107.81</v>
      </c>
      <c r="R18" s="11">
        <v>4.2</v>
      </c>
      <c r="S18" s="14">
        <f>(5*Q18)/(3*O18)</f>
        <v>0.91581719334012923</v>
      </c>
      <c r="T18" s="11">
        <v>1.28</v>
      </c>
      <c r="U18" s="14">
        <v>6.5</v>
      </c>
    </row>
    <row r="19" spans="1:21" s="1" customFormat="1">
      <c r="A19" s="24">
        <v>17</v>
      </c>
      <c r="B19" s="15" t="s">
        <v>11</v>
      </c>
      <c r="C19" s="18" t="s">
        <v>57</v>
      </c>
      <c r="D19" s="11">
        <v>403.09</v>
      </c>
      <c r="E19" s="11">
        <v>152.22432024169186</v>
      </c>
      <c r="F19" s="12">
        <v>3565</v>
      </c>
      <c r="G19" s="13">
        <v>0</v>
      </c>
      <c r="H19" s="19">
        <v>2.3109999999999999</v>
      </c>
      <c r="I19" s="19">
        <v>0.59560000000000002</v>
      </c>
      <c r="J19" s="19">
        <v>-0.45379999999999998</v>
      </c>
      <c r="K19" s="19">
        <v>1.4657</v>
      </c>
      <c r="L19" s="19">
        <v>-7.0119999999999996</v>
      </c>
      <c r="M19" s="19">
        <v>-33.042000000000002</v>
      </c>
      <c r="N19" s="19">
        <v>3.1261999999999999</v>
      </c>
      <c r="O19" s="14">
        <v>173.81</v>
      </c>
      <c r="P19" s="14">
        <v>5</v>
      </c>
      <c r="Q19" s="14">
        <v>94</v>
      </c>
      <c r="R19" s="11">
        <v>4.0599999999999996</v>
      </c>
      <c r="S19" s="14">
        <v>1.5</v>
      </c>
      <c r="T19" s="11">
        <v>1.25</v>
      </c>
      <c r="U19" s="14">
        <v>5.3</v>
      </c>
    </row>
    <row r="20" spans="1:21" s="1" customFormat="1">
      <c r="A20" s="24">
        <v>18</v>
      </c>
      <c r="B20" s="15" t="s">
        <v>10</v>
      </c>
      <c r="C20" s="18" t="s">
        <v>58</v>
      </c>
      <c r="D20" s="11">
        <v>497.7</v>
      </c>
      <c r="E20" s="11">
        <v>187.95317220543808</v>
      </c>
      <c r="F20" s="12">
        <v>4324</v>
      </c>
      <c r="G20" s="13">
        <v>0</v>
      </c>
      <c r="H20" s="19">
        <v>1.776</v>
      </c>
      <c r="I20" s="19">
        <v>1.214</v>
      </c>
      <c r="J20" s="19">
        <v>-0.5071</v>
      </c>
      <c r="K20" s="19">
        <v>1.2484999999999999</v>
      </c>
      <c r="L20" s="19">
        <v>-6.6050000000000004</v>
      </c>
      <c r="M20" s="19">
        <v>-30.297999999999998</v>
      </c>
      <c r="N20" s="19">
        <v>4.4436999999999998</v>
      </c>
      <c r="O20" s="14">
        <v>174.1</v>
      </c>
      <c r="P20" s="14">
        <v>6</v>
      </c>
      <c r="Q20" s="14">
        <v>92.1</v>
      </c>
      <c r="R20" s="11">
        <v>5.5170000000000003</v>
      </c>
      <c r="S20" s="14">
        <v>1.6</v>
      </c>
      <c r="T20" s="11">
        <v>1.02</v>
      </c>
      <c r="U20" s="14">
        <v>5.5170000000000003</v>
      </c>
    </row>
    <row r="25" spans="1:21" ht="75" customHeight="1">
      <c r="B25" s="22"/>
      <c r="C25" s="31" t="s">
        <v>74</v>
      </c>
      <c r="D25" s="34" t="s">
        <v>82</v>
      </c>
      <c r="E25" s="35"/>
      <c r="F25" s="35"/>
      <c r="G25" s="35"/>
    </row>
    <row r="26" spans="1:21">
      <c r="B26" s="22"/>
      <c r="C26" s="32" t="s">
        <v>71</v>
      </c>
      <c r="D26" s="20" t="s">
        <v>60</v>
      </c>
      <c r="E26" s="20" t="s">
        <v>61</v>
      </c>
      <c r="F26" s="20" t="s">
        <v>62</v>
      </c>
      <c r="G26" s="29" t="s">
        <v>63</v>
      </c>
    </row>
    <row r="27" spans="1:21">
      <c r="B27" s="10" t="s">
        <v>72</v>
      </c>
      <c r="C27" s="30"/>
      <c r="D27" s="23">
        <v>8.7899999999999991</v>
      </c>
      <c r="E27" s="23">
        <v>0</v>
      </c>
      <c r="F27" s="23">
        <v>0</v>
      </c>
      <c r="G27" s="23">
        <v>1.48</v>
      </c>
    </row>
    <row r="28" spans="1:21">
      <c r="B28" s="15" t="s">
        <v>73</v>
      </c>
      <c r="C28" s="30"/>
      <c r="D28" s="23">
        <v>0.99299999999999999</v>
      </c>
      <c r="E28" s="23">
        <v>0</v>
      </c>
      <c r="F28" s="23">
        <v>0</v>
      </c>
      <c r="G28" s="23">
        <v>-1</v>
      </c>
    </row>
    <row r="29" spans="1:21">
      <c r="B29" s="15" t="s">
        <v>6</v>
      </c>
      <c r="C29" s="30"/>
      <c r="D29" s="23">
        <v>1.7909999999999999</v>
      </c>
      <c r="E29" s="23">
        <v>0</v>
      </c>
      <c r="F29" s="23">
        <v>0</v>
      </c>
      <c r="G29" s="23">
        <v>-0.27</v>
      </c>
    </row>
    <row r="30" spans="1:21">
      <c r="B30" s="15" t="s">
        <v>64</v>
      </c>
      <c r="C30" s="30" t="s">
        <v>8</v>
      </c>
      <c r="D30" s="23">
        <v>2.1989999999999998</v>
      </c>
      <c r="E30" s="23">
        <v>-2.1800000000000002</v>
      </c>
      <c r="F30" s="23">
        <v>1.9</v>
      </c>
      <c r="G30" s="23">
        <v>-0.21</v>
      </c>
    </row>
    <row r="31" spans="1:21">
      <c r="B31" s="15" t="s">
        <v>20</v>
      </c>
      <c r="C31" s="30"/>
      <c r="D31" s="23">
        <v>2.8</v>
      </c>
      <c r="E31" s="23">
        <v>0</v>
      </c>
      <c r="F31" s="23">
        <v>0</v>
      </c>
      <c r="G31" s="23">
        <v>1.5389999999999999</v>
      </c>
    </row>
    <row r="32" spans="1:21">
      <c r="B32" s="15" t="s">
        <v>65</v>
      </c>
      <c r="C32" s="30"/>
      <c r="D32" s="23">
        <v>2.2669999999999999</v>
      </c>
      <c r="E32" s="23">
        <v>0</v>
      </c>
      <c r="F32" s="23">
        <v>0</v>
      </c>
      <c r="G32" s="23">
        <v>1.5389999999999999</v>
      </c>
    </row>
    <row r="33" spans="2:7">
      <c r="B33" s="15" t="s">
        <v>21</v>
      </c>
      <c r="C33" s="30"/>
      <c r="D33" s="24">
        <v>2.6484999999999999</v>
      </c>
      <c r="E33" s="24">
        <v>0</v>
      </c>
      <c r="F33" s="24">
        <v>0</v>
      </c>
      <c r="G33" s="23">
        <v>0.5</v>
      </c>
    </row>
    <row r="34" spans="2:7">
      <c r="B34" s="15" t="s">
        <v>66</v>
      </c>
      <c r="C34" s="30"/>
      <c r="D34" s="23">
        <v>4.25</v>
      </c>
      <c r="E34" s="23">
        <v>0</v>
      </c>
      <c r="F34" s="23">
        <v>0</v>
      </c>
      <c r="G34" s="23">
        <v>0.54</v>
      </c>
    </row>
    <row r="35" spans="2:7">
      <c r="B35" s="15" t="s">
        <v>67</v>
      </c>
      <c r="C35" s="30"/>
      <c r="D35" s="23">
        <v>3.37</v>
      </c>
      <c r="E35" s="23">
        <v>0</v>
      </c>
      <c r="F35" s="23">
        <v>0</v>
      </c>
      <c r="G35" s="23">
        <v>0.3</v>
      </c>
    </row>
    <row r="36" spans="2:7">
      <c r="B36" s="15" t="s">
        <v>68</v>
      </c>
      <c r="C36" s="30" t="s">
        <v>53</v>
      </c>
      <c r="D36" s="23">
        <v>3.0910000000000002</v>
      </c>
      <c r="E36" s="23">
        <v>-1.17</v>
      </c>
      <c r="F36" s="23">
        <v>3.35</v>
      </c>
      <c r="G36" s="23">
        <v>0.49</v>
      </c>
    </row>
    <row r="37" spans="2:7">
      <c r="B37" s="15" t="s">
        <v>69</v>
      </c>
      <c r="C37" s="30"/>
      <c r="D37" s="23">
        <v>12</v>
      </c>
      <c r="E37" s="23">
        <v>0</v>
      </c>
      <c r="F37" s="23">
        <v>0</v>
      </c>
      <c r="G37" s="23">
        <v>1.24</v>
      </c>
    </row>
    <row r="38" spans="2:7">
      <c r="B38" s="15" t="s">
        <v>70</v>
      </c>
      <c r="C38" s="30" t="s">
        <v>11</v>
      </c>
      <c r="D38" s="23">
        <v>4.9660000000000002</v>
      </c>
      <c r="E38" s="23">
        <v>-7.42</v>
      </c>
      <c r="F38" s="23">
        <v>8.4499999999999993</v>
      </c>
      <c r="G38" s="23">
        <v>0.37</v>
      </c>
    </row>
  </sheetData>
  <mergeCells count="3">
    <mergeCell ref="H1:J1"/>
    <mergeCell ref="K1:N1"/>
    <mergeCell ref="D25:G2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27" sqref="B27"/>
    </sheetView>
  </sheetViews>
  <sheetFormatPr baseColWidth="10" defaultRowHeight="15" x14ac:dyDescent="0"/>
  <cols>
    <col min="2" max="2" width="12.1640625" bestFit="1" customWidth="1"/>
  </cols>
  <sheetData>
    <row r="1" spans="1:2">
      <c r="A1" t="s">
        <v>80</v>
      </c>
      <c r="B1" t="s">
        <v>81</v>
      </c>
    </row>
    <row r="2" spans="1:2">
      <c r="A2">
        <v>298</v>
      </c>
      <c r="B2">
        <f>Sheet1!H$3*0.00001+Sheet1!I$3*0.00000001*quartz!A2+Sheet1!J$3*quartz!A2^-2</f>
        <v>2.3838260201702627E-5</v>
      </c>
    </row>
    <row r="3" spans="1:2">
      <c r="A3">
        <f>A2+25</f>
        <v>323</v>
      </c>
      <c r="B3">
        <f>Sheet1!H$3*0.00001+Sheet1!I$3*0.00000001*quartz!A3+Sheet1!J$3*quartz!A3^-2</f>
        <v>2.9096936183870254E-5</v>
      </c>
    </row>
    <row r="4" spans="1:2">
      <c r="A4">
        <f t="shared" ref="A4:A27" si="0">A3+25</f>
        <v>348</v>
      </c>
      <c r="B4">
        <f>Sheet1!H$3*0.00001+Sheet1!I$3*0.00000001*quartz!A4+Sheet1!J$3*quartz!A4^-2</f>
        <v>3.3764961417888759E-5</v>
      </c>
    </row>
    <row r="5" spans="1:2">
      <c r="A5">
        <f t="shared" si="0"/>
        <v>373</v>
      </c>
      <c r="B5">
        <f>Sheet1!H$3*0.00001+Sheet1!I$3*0.00000001*quartz!A5+Sheet1!J$3*quartz!A5^-2</f>
        <v>3.7995243442970187E-5</v>
      </c>
    </row>
    <row r="6" spans="1:2">
      <c r="A6">
        <f t="shared" si="0"/>
        <v>398</v>
      </c>
      <c r="B6">
        <f>Sheet1!H$3*0.00001+Sheet1!I$3*0.00000001*quartz!A6+Sheet1!J$3*quartz!A6^-2</f>
        <v>4.1894230803212041E-5</v>
      </c>
    </row>
    <row r="7" spans="1:2">
      <c r="A7">
        <f t="shared" si="0"/>
        <v>423</v>
      </c>
      <c r="B7">
        <f>Sheet1!H$3*0.00001+Sheet1!I$3*0.00000001*quartz!A7+Sheet1!J$3*quartz!A7^-2</f>
        <v>4.5537877537051008E-5</v>
      </c>
    </row>
    <row r="8" spans="1:2">
      <c r="A8">
        <f t="shared" si="0"/>
        <v>448</v>
      </c>
      <c r="B8">
        <f>Sheet1!H$3*0.00001+Sheet1!I$3*0.00000001*quartz!A8+Sheet1!J$3*quartz!A8^-2</f>
        <v>4.8981555697704084E-5</v>
      </c>
    </row>
    <row r="9" spans="1:2">
      <c r="A9">
        <f t="shared" si="0"/>
        <v>473</v>
      </c>
      <c r="B9">
        <f>Sheet1!H$3*0.00001+Sheet1!I$3*0.00000001*quartz!A9+Sheet1!J$3*quartz!A9^-2</f>
        <v>5.2266402655341955E-5</v>
      </c>
    </row>
    <row r="10" spans="1:2">
      <c r="A10">
        <f t="shared" si="0"/>
        <v>498</v>
      </c>
      <c r="B10">
        <f>Sheet1!H$3*0.00001+Sheet1!I$3*0.00000001*quartz!A10+Sheet1!J$3*quartz!A10^-2</f>
        <v>5.5423496771632715E-5</v>
      </c>
    </row>
    <row r="11" spans="1:2">
      <c r="A11">
        <f t="shared" si="0"/>
        <v>523</v>
      </c>
      <c r="B11">
        <f>Sheet1!H$3*0.00001+Sheet1!I$3*0.00000001*quartz!A11+Sheet1!J$3*quartz!A11^-2</f>
        <v>5.8476670863151612E-5</v>
      </c>
    </row>
    <row r="12" spans="1:2">
      <c r="A12">
        <f t="shared" si="0"/>
        <v>548</v>
      </c>
      <c r="B12">
        <f>Sheet1!H$3*0.00001+Sheet1!I$3*0.00000001*quartz!A12+Sheet1!J$3*quartz!A12^-2</f>
        <v>6.1444448631893005E-5</v>
      </c>
    </row>
    <row r="13" spans="1:2">
      <c r="A13">
        <f t="shared" si="0"/>
        <v>573</v>
      </c>
      <c r="B13">
        <f>Sheet1!H$3*0.00001+Sheet1!I$3*0.00000001*quartz!A13+Sheet1!J$3*quartz!A13^-2</f>
        <v>6.4341403148600941E-5</v>
      </c>
    </row>
    <row r="14" spans="1:2">
      <c r="A14">
        <f t="shared" si="0"/>
        <v>598</v>
      </c>
      <c r="B14">
        <f>Sheet1!H$3*0.00001+Sheet1!I$3*0.00000001*quartz!A14+Sheet1!J$3*quartz!A14^-2</f>
        <v>6.7179126437489508E-5</v>
      </c>
    </row>
    <row r="15" spans="1:2">
      <c r="A15">
        <f t="shared" si="0"/>
        <v>623</v>
      </c>
      <c r="B15">
        <f>Sheet1!H$3*0.00001+Sheet1!I$3*0.00000001*quartz!A15+Sheet1!J$3*quartz!A15^-2</f>
        <v>6.9966932383890419E-5</v>
      </c>
    </row>
    <row r="16" spans="1:2">
      <c r="A16">
        <f t="shared" si="0"/>
        <v>648</v>
      </c>
      <c r="B16">
        <f>Sheet1!H$3*0.00001+Sheet1!I$3*0.00000001*quartz!A16+Sheet1!J$3*quartz!A16^-2</f>
        <v>7.2712373611949407E-5</v>
      </c>
    </row>
    <row r="17" spans="1:2">
      <c r="A17">
        <f t="shared" si="0"/>
        <v>673</v>
      </c>
      <c r="B17">
        <f>Sheet1!H$3*0.00001+Sheet1!I$3*0.00000001*quartz!A17+Sheet1!J$3*quartz!A17^-2</f>
        <v>7.5421626544286188E-5</v>
      </c>
    </row>
    <row r="18" spans="1:2">
      <c r="A18">
        <f t="shared" si="0"/>
        <v>698</v>
      </c>
      <c r="B18">
        <f>Sheet1!H$3*0.00001+Sheet1!I$3*0.00000001*quartz!A18+Sheet1!J$3*quartz!A18^-2</f>
        <v>7.8099781709000752E-5</v>
      </c>
    </row>
    <row r="19" spans="1:2">
      <c r="A19">
        <f t="shared" si="0"/>
        <v>723</v>
      </c>
      <c r="B19">
        <f>Sheet1!H$3*0.00001+Sheet1!I$3*0.00000001*quartz!A19+Sheet1!J$3*quartz!A19^-2</f>
        <v>8.0751065033558494E-5</v>
      </c>
    </row>
    <row r="20" spans="1:2">
      <c r="A20">
        <f>A19+25</f>
        <v>748</v>
      </c>
      <c r="B20">
        <f>Sheet1!H$3*0.00001+Sheet1!I$3*0.00000001*quartz!A20+Sheet1!J$3*quartz!A20^-2</f>
        <v>8.337900825794274E-5</v>
      </c>
    </row>
    <row r="21" spans="1:2">
      <c r="A21">
        <f t="shared" si="0"/>
        <v>773</v>
      </c>
      <c r="B21">
        <f>Sheet1!H$3*0.00001+Sheet1!I$3*0.00000001*quartz!A21+Sheet1!J$3*quartz!A21^-2</f>
        <v>8.5986581410738212E-5</v>
      </c>
    </row>
    <row r="22" spans="1:2">
      <c r="A22">
        <f t="shared" si="0"/>
        <v>798</v>
      </c>
      <c r="B22">
        <f>Sheet1!H$3*0.00001+Sheet1!I$3*0.00000001*quartz!A22+Sheet1!J$3*quartz!A22^-2</f>
        <v>8.8576296701892561E-5</v>
      </c>
    </row>
    <row r="23" spans="1:2">
      <c r="A23">
        <f>A22+25</f>
        <v>823</v>
      </c>
      <c r="B23">
        <f>Sheet1!H$3*0.00001+Sheet1!I$3*0.00000001*quartz!A23+Sheet1!J$3*quartz!A23^-2</f>
        <v>9.1150290669123881E-5</v>
      </c>
    </row>
    <row r="24" spans="1:2">
      <c r="A24">
        <f t="shared" si="0"/>
        <v>848</v>
      </c>
      <c r="B24">
        <f>Sheet1!H$3*0.00001+Sheet1!I$3*0.00000001*quartz!A24+Sheet1!J$3*quartz!A24^-2</f>
        <v>9.3710389628693495E-5</v>
      </c>
    </row>
    <row r="25" spans="1:2">
      <c r="A25">
        <f t="shared" si="0"/>
        <v>873</v>
      </c>
      <c r="B25">
        <f>Sheet1!H$3*0.00001+Sheet1!I$3*0.00000001*quartz!A25+Sheet1!J$3*quartz!A25^-2</f>
        <v>9.6258162198888908E-5</v>
      </c>
    </row>
    <row r="26" spans="1:2">
      <c r="A26">
        <f t="shared" si="0"/>
        <v>898</v>
      </c>
      <c r="B26">
        <f>Sheet1!H$3*0.00001+Sheet1!I$3*0.00000001*quartz!A26+Sheet1!J$3*quartz!A26^-2</f>
        <v>9.879496173400926E-5</v>
      </c>
    </row>
    <row r="27" spans="1:2">
      <c r="A27">
        <f t="shared" si="0"/>
        <v>923</v>
      </c>
      <c r="B27">
        <f>Sheet1!H$3*0.00001+Sheet1!I$3*0.00000001*quartz!A27+Sheet1!J$3*quartz!A27^-2</f>
        <v>1.0132196082458397E-4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quartz</vt:lpstr>
    </vt:vector>
  </TitlesOfParts>
  <Company>University of Adelaide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Hasterok</dc:creator>
  <cp:lastModifiedBy>Derrick Hasterok</cp:lastModifiedBy>
  <dcterms:created xsi:type="dcterms:W3CDTF">2016-02-26T00:26:17Z</dcterms:created>
  <dcterms:modified xsi:type="dcterms:W3CDTF">2016-03-23T01:22:18Z</dcterms:modified>
</cp:coreProperties>
</file>